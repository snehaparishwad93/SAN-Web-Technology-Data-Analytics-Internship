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N Internship tasks\"/>
    </mc:Choice>
  </mc:AlternateContent>
  <xr:revisionPtr revIDLastSave="0" documentId="13_ncr:1_{DFAC557D-6911-411C-BAEA-A37EAAC582F6}" xr6:coauthVersionLast="47" xr6:coauthVersionMax="47" xr10:uidLastSave="{00000000-0000-0000-0000-000000000000}"/>
  <bookViews>
    <workbookView xWindow="-108" yWindow="-108" windowWidth="23256" windowHeight="12456" activeTab="1" xr2:uid="{DBE3DB27-2281-4693-AAD5-E4618B0DD952}"/>
  </bookViews>
  <sheets>
    <sheet name="Raw_Data_OF_Order_Dataset" sheetId="1" r:id="rId1"/>
    <sheet name="Cleaned_Data_OF_Order_Dataset" sheetId="2" r:id="rId2"/>
    <sheet name="Pivot table and Charts" sheetId="4" r:id="rId3"/>
  </sheets>
  <definedNames>
    <definedName name="_xlnm._FilterDatabase" localSheetId="1" hidden="1">Cleaned_Data_OF_Order_Dataset!$A$1:$A$61</definedName>
  </definedName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2" l="1"/>
  <c r="P7" i="2"/>
  <c r="P6" i="2"/>
  <c r="P5" i="2"/>
  <c r="P4" i="2"/>
</calcChain>
</file>

<file path=xl/sharedStrings.xml><?xml version="1.0" encoding="utf-8"?>
<sst xmlns="http://schemas.openxmlformats.org/spreadsheetml/2006/main" count="903" uniqueCount="236">
  <si>
    <t>Order_ID</t>
  </si>
  <si>
    <t>Customer_Name</t>
  </si>
  <si>
    <t>City</t>
  </si>
  <si>
    <t>Category</t>
  </si>
  <si>
    <t>Product</t>
  </si>
  <si>
    <t>Order_Date</t>
  </si>
  <si>
    <t>Quantity</t>
  </si>
  <si>
    <t>Unit_Price</t>
  </si>
  <si>
    <t>Total_Sales</t>
  </si>
  <si>
    <t>Bengaluru</t>
  </si>
  <si>
    <t>Electronics</t>
  </si>
  <si>
    <t>Headphones</t>
  </si>
  <si>
    <t>Belagavi</t>
  </si>
  <si>
    <t>Mysuru</t>
  </si>
  <si>
    <t>Clothing</t>
  </si>
  <si>
    <t>T-Shirt</t>
  </si>
  <si>
    <t>Neha</t>
  </si>
  <si>
    <t>Home</t>
  </si>
  <si>
    <t>Kiran</t>
  </si>
  <si>
    <t>belagavi</t>
  </si>
  <si>
    <t>Grocery</t>
  </si>
  <si>
    <t>Bottle</t>
  </si>
  <si>
    <t>Rahul</t>
  </si>
  <si>
    <t>Speaker</t>
  </si>
  <si>
    <t>Priya</t>
  </si>
  <si>
    <t>Rice</t>
  </si>
  <si>
    <t>Mouse</t>
  </si>
  <si>
    <t>Sneha</t>
  </si>
  <si>
    <t>Coffee</t>
  </si>
  <si>
    <t>electronics</t>
  </si>
  <si>
    <t>Keyboard</t>
  </si>
  <si>
    <t>Hubballi</t>
  </si>
  <si>
    <t>Jacket</t>
  </si>
  <si>
    <t>Lamp</t>
  </si>
  <si>
    <t>Biscuits</t>
  </si>
  <si>
    <t>Amit</t>
  </si>
  <si>
    <t>Unknown</t>
  </si>
  <si>
    <t>Full_Address</t>
  </si>
  <si>
    <t>O001</t>
  </si>
  <si>
    <t>87 MG Road, Hubballi, Karnataka, India</t>
  </si>
  <si>
    <t>O002</t>
  </si>
  <si>
    <t>72 Station Road, Hubballi, Karnataka, India</t>
  </si>
  <si>
    <t>O003</t>
  </si>
  <si>
    <t>Anita</t>
  </si>
  <si>
    <t>Dharwad</t>
  </si>
  <si>
    <t>Tea</t>
  </si>
  <si>
    <t>90 Market Road, Dharwad, Karnataka, India</t>
  </si>
  <si>
    <t>O004</t>
  </si>
  <si>
    <t>49 MG Road, Dharwad, Karnataka, India</t>
  </si>
  <si>
    <t>O005</t>
  </si>
  <si>
    <t>49 MG Road, Bengaluru, Karnataka, India</t>
  </si>
  <si>
    <t>O006</t>
  </si>
  <si>
    <t>11 Station Road, Belagavi, Karnataka, India</t>
  </si>
  <si>
    <t>O007</t>
  </si>
  <si>
    <t>46 Station Road, Dharwad, Karnataka, India</t>
  </si>
  <si>
    <t>O008</t>
  </si>
  <si>
    <t>Rohit</t>
  </si>
  <si>
    <t>49 College Road, Hubballi, Karnataka, India</t>
  </si>
  <si>
    <t>O009</t>
  </si>
  <si>
    <t>35 MG Road, Belagavi, Karnataka, India</t>
  </si>
  <si>
    <t>O010</t>
  </si>
  <si>
    <t>34 Station Road, Bengaluru, Karnataka, India</t>
  </si>
  <si>
    <t>O011</t>
  </si>
  <si>
    <t>18 Market Road, Bengaluru, Karnataka, India</t>
  </si>
  <si>
    <t>O012</t>
  </si>
  <si>
    <t>50 Market Road, Hubballi, Karnataka, India</t>
  </si>
  <si>
    <t>O013</t>
  </si>
  <si>
    <t>15 College Road, Mysuru, Karnataka, India</t>
  </si>
  <si>
    <t>O014</t>
  </si>
  <si>
    <t>65 MG Road, Dharwad, Karnataka, India</t>
  </si>
  <si>
    <t>O015</t>
  </si>
  <si>
    <t xml:space="preserve">  Sneha  </t>
  </si>
  <si>
    <t>Chair</t>
  </si>
  <si>
    <t>77 College Road, Hubballi, Karnataka, India</t>
  </si>
  <si>
    <t>O016</t>
  </si>
  <si>
    <t>31 MG Road, Dharwad, Karnataka, India</t>
  </si>
  <si>
    <t>O017</t>
  </si>
  <si>
    <t>71 Station Road, Hubballi, Karnataka, India</t>
  </si>
  <si>
    <t>O018</t>
  </si>
  <si>
    <t>Cushion</t>
  </si>
  <si>
    <t>86 College Road, Hubballi, Karnataka, India</t>
  </si>
  <si>
    <t>O019</t>
  </si>
  <si>
    <t>3 Station Road, Hubballi, Karnataka, India</t>
  </si>
  <si>
    <t>O020</t>
  </si>
  <si>
    <t>15/03/2026</t>
  </si>
  <si>
    <t>43 MG Road, Hubballi, Karnataka, India</t>
  </si>
  <si>
    <t>O021</t>
  </si>
  <si>
    <t>32 Market Road, Mysuru, Karnataka, India</t>
  </si>
  <si>
    <t>O022</t>
  </si>
  <si>
    <t>53 Market Road, Bengaluru, Karnataka, India</t>
  </si>
  <si>
    <t>O023</t>
  </si>
  <si>
    <t>25 Station Road, Dharwad, Karnataka, India</t>
  </si>
  <si>
    <t>O024</t>
  </si>
  <si>
    <t>10 Market Road, Dharwad, Karnataka, India</t>
  </si>
  <si>
    <t>O025</t>
  </si>
  <si>
    <t>63 Market Road, Hubballi, Karnataka, India</t>
  </si>
  <si>
    <t>O026</t>
  </si>
  <si>
    <t>Shoes</t>
  </si>
  <si>
    <t>34 Market Road, Bengaluru, Karnataka, India</t>
  </si>
  <si>
    <t>O027</t>
  </si>
  <si>
    <t>8 MG Road, Hubballi, Karnataka, India</t>
  </si>
  <si>
    <t>O028</t>
  </si>
  <si>
    <t>8 MG Road, Bengaluru, Karnataka, India</t>
  </si>
  <si>
    <t>O029</t>
  </si>
  <si>
    <t>75 MG Road, Bengaluru, Karnataka, India</t>
  </si>
  <si>
    <t>O030</t>
  </si>
  <si>
    <t>34 Market Road, Hubballi, Karnataka, India</t>
  </si>
  <si>
    <t>O031</t>
  </si>
  <si>
    <t>80 MG Road, Belagavi, Karnataka, India</t>
  </si>
  <si>
    <t>O032</t>
  </si>
  <si>
    <t>48 College Road, Dharwad, Karnataka, India</t>
  </si>
  <si>
    <t>O033</t>
  </si>
  <si>
    <t>85 MG Road, Mysuru, Karnataka, India</t>
  </si>
  <si>
    <t>O034</t>
  </si>
  <si>
    <t>37 Station Road, Mysuru, Karnataka, India</t>
  </si>
  <si>
    <t>O035</t>
  </si>
  <si>
    <t>12 Market Road, Bengaluru, Karnataka, India</t>
  </si>
  <si>
    <t>O036</t>
  </si>
  <si>
    <t>95 Market Road, Hubballi, Karnataka, India</t>
  </si>
  <si>
    <t>O037</t>
  </si>
  <si>
    <t>48 Station Road, Hubballi, Karnataka, India</t>
  </si>
  <si>
    <t>O038</t>
  </si>
  <si>
    <t>27 Station Road, Dharwad, Karnataka, India</t>
  </si>
  <si>
    <t>O039</t>
  </si>
  <si>
    <t>23 Market Road, Hubballi, Karnataka, India</t>
  </si>
  <si>
    <t>O040</t>
  </si>
  <si>
    <t>90 MG Road, Hubballi, Karnataka, India</t>
  </si>
  <si>
    <t>O041</t>
  </si>
  <si>
    <t>40 Station Road, Hubballi, Karnataka, India</t>
  </si>
  <si>
    <t>O042</t>
  </si>
  <si>
    <t>99 College Road, Dharwad, Karnataka, India</t>
  </si>
  <si>
    <t>O043</t>
  </si>
  <si>
    <t>75 College Road, Belagavi, Karnataka, India</t>
  </si>
  <si>
    <t>O044</t>
  </si>
  <si>
    <t>50 Station Road, Dharwad, Karnataka, India</t>
  </si>
  <si>
    <t>O045</t>
  </si>
  <si>
    <t>47 Market Road, Mysuru, Karnataka, India</t>
  </si>
  <si>
    <t>O046</t>
  </si>
  <si>
    <t>86 Market Road, Dharwad, Karnataka, India</t>
  </si>
  <si>
    <t>O047</t>
  </si>
  <si>
    <t>86 Market Road, Hubballi, Karnataka, India</t>
  </si>
  <si>
    <t>O048</t>
  </si>
  <si>
    <t>27 Market Road, Belagavi, Karnataka, India</t>
  </si>
  <si>
    <t>O049</t>
  </si>
  <si>
    <t>95 Station Road, Hubballi, Karnataka, India</t>
  </si>
  <si>
    <t>O050</t>
  </si>
  <si>
    <t>O051</t>
  </si>
  <si>
    <t>54 Station Road, Mysuru, Karnataka, India</t>
  </si>
  <si>
    <t>O052</t>
  </si>
  <si>
    <t>55 Station Road, Hubballi, Karnataka, India</t>
  </si>
  <si>
    <t>O053</t>
  </si>
  <si>
    <t>18 Market Road, Hubballi, Karnataka, India</t>
  </si>
  <si>
    <t>O054</t>
  </si>
  <si>
    <t>58 College Road, Bengaluru, Karnataka, India</t>
  </si>
  <si>
    <t>O055</t>
  </si>
  <si>
    <t>18 MG Road, Belagavi, Karnataka, India</t>
  </si>
  <si>
    <t>O056</t>
  </si>
  <si>
    <t>20 Station Road, Mysuru, Karnataka, India</t>
  </si>
  <si>
    <t>O057</t>
  </si>
  <si>
    <t>70 Market Road, Bengaluru, Karnataka, India</t>
  </si>
  <si>
    <t>O058</t>
  </si>
  <si>
    <t>98 Market Road, Bengaluru, Karnataka, India</t>
  </si>
  <si>
    <t>O059</t>
  </si>
  <si>
    <t>63 Station Road, Bengaluru, Karnataka, India</t>
  </si>
  <si>
    <t>O060</t>
  </si>
  <si>
    <t>93 Station Road, Bengaluru, Karnataka, India</t>
  </si>
  <si>
    <t>87 MG Road</t>
  </si>
  <si>
    <t xml:space="preserve"> Karnataka</t>
  </si>
  <si>
    <t xml:space="preserve"> India</t>
  </si>
  <si>
    <t>72 Station Road</t>
  </si>
  <si>
    <t>90 Market Road</t>
  </si>
  <si>
    <t>49 MG Road</t>
  </si>
  <si>
    <t>11 Station Road</t>
  </si>
  <si>
    <t>46 Station Road</t>
  </si>
  <si>
    <t>49 College Road</t>
  </si>
  <si>
    <t>35 MG Road</t>
  </si>
  <si>
    <t>34 Station Road</t>
  </si>
  <si>
    <t>18 Market Road</t>
  </si>
  <si>
    <t>50 Market Road</t>
  </si>
  <si>
    <t>15 College Road</t>
  </si>
  <si>
    <t>65 MG Road</t>
  </si>
  <si>
    <t>77 College Road</t>
  </si>
  <si>
    <t>31 MG Road</t>
  </si>
  <si>
    <t>71 Station Road</t>
  </si>
  <si>
    <t>86 College Road</t>
  </si>
  <si>
    <t>3 Station Road</t>
  </si>
  <si>
    <t>43 MG Road</t>
  </si>
  <si>
    <t>32 Market Road</t>
  </si>
  <si>
    <t>53 Market Road</t>
  </si>
  <si>
    <t>25 Station Road</t>
  </si>
  <si>
    <t>10 Market Road</t>
  </si>
  <si>
    <t>63 Market Road</t>
  </si>
  <si>
    <t>34 Market Road</t>
  </si>
  <si>
    <t>8 MG Road</t>
  </si>
  <si>
    <t>75 MG Road</t>
  </si>
  <si>
    <t>80 MG Road</t>
  </si>
  <si>
    <t>48 College Road</t>
  </si>
  <si>
    <t>85 MG Road</t>
  </si>
  <si>
    <t>37 Station Road</t>
  </si>
  <si>
    <t>12 Market Road</t>
  </si>
  <si>
    <t>95 Market Road</t>
  </si>
  <si>
    <t>48 Station Road</t>
  </si>
  <si>
    <t>27 Station Road</t>
  </si>
  <si>
    <t>23 Market Road</t>
  </si>
  <si>
    <t>90 MG Road</t>
  </si>
  <si>
    <t>40 Station Road</t>
  </si>
  <si>
    <t>99 College Road</t>
  </si>
  <si>
    <t>75 College Road</t>
  </si>
  <si>
    <t>50 Station Road</t>
  </si>
  <si>
    <t>47 Market Road</t>
  </si>
  <si>
    <t>86 Market Road</t>
  </si>
  <si>
    <t>27 Market Road</t>
  </si>
  <si>
    <t>95 Station Road</t>
  </si>
  <si>
    <t>54 Station Road</t>
  </si>
  <si>
    <t>55 Station Road</t>
  </si>
  <si>
    <t>58 College Road</t>
  </si>
  <si>
    <t>18 MG Road</t>
  </si>
  <si>
    <t>20 Station Road</t>
  </si>
  <si>
    <t>70 Market Road</t>
  </si>
  <si>
    <t>98 Market Road</t>
  </si>
  <si>
    <t>63 Station Road</t>
  </si>
  <si>
    <t>93 Station Road</t>
  </si>
  <si>
    <t>State</t>
  </si>
  <si>
    <t>Country</t>
  </si>
  <si>
    <t>24 Station Road, Hubballi, Karnataka, India</t>
  </si>
  <si>
    <t>24 Station Road</t>
  </si>
  <si>
    <t>Row Labels</t>
  </si>
  <si>
    <t>Grand Total</t>
  </si>
  <si>
    <t>Sum of Total_Sales</t>
  </si>
  <si>
    <t>Average of Unit_Price</t>
  </si>
  <si>
    <t>Total Sales</t>
  </si>
  <si>
    <t>Total Quantity Sold</t>
  </si>
  <si>
    <t>Average Unit Price</t>
  </si>
  <si>
    <t>Number of Orders</t>
  </si>
  <si>
    <t>Maximum Unit Price</t>
  </si>
  <si>
    <t>Summary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</si>
</sst>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  <xf numFmtId="0" fontId="0" fillId="0" borderId="10" xfId="0" applyBorder="1" applyAlignment="1">
      <alignment horizontal="center" wrapText="1"/>
    </xf>
    <xf numFmtId="0" fontId="0" fillId="0" borderId="10" xfId="0" applyBorder="1"/>
    <xf numFmtId="0" fontId="16" fillId="0" borderId="10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[SAN_Level1_Task1.xlsx]Pivot table and Charts!PivotTable1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 and Charts'!$D$5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 and Charts'!$C$6:$C$11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</c:v>
                </c:pt>
                <c:pt idx="4">
                  <c:v>Unknown</c:v>
                </c:pt>
              </c:strCache>
            </c:strRef>
          </c:cat>
          <c:val>
            <c:numRef>
              <c:f>'Pivot table and Charts'!$D$6:$D$11</c:f>
              <c:numCache>
                <c:formatCode>General</c:formatCode>
                <c:ptCount val="5"/>
                <c:pt idx="0">
                  <c:v>52800</c:v>
                </c:pt>
                <c:pt idx="1">
                  <c:v>93800</c:v>
                </c:pt>
                <c:pt idx="2">
                  <c:v>10600</c:v>
                </c:pt>
                <c:pt idx="3">
                  <c:v>50500</c:v>
                </c:pt>
                <c:pt idx="4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E-4279-B9C9-B42265778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[SAN_Level1_Task1.xlsx]Pivot table and Charts!PivotTable4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Charts'!$D$21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and Charts'!$C$22:$C$28</c:f>
              <c:strCache>
                <c:ptCount val="6"/>
                <c:pt idx="0">
                  <c:v>Belagavi</c:v>
                </c:pt>
                <c:pt idx="1">
                  <c:v>Bengaluru</c:v>
                </c:pt>
                <c:pt idx="2">
                  <c:v>Dharwad</c:v>
                </c:pt>
                <c:pt idx="3">
                  <c:v>Hubballi</c:v>
                </c:pt>
                <c:pt idx="4">
                  <c:v>Mysuru</c:v>
                </c:pt>
                <c:pt idx="5">
                  <c:v>Unknown</c:v>
                </c:pt>
              </c:strCache>
            </c:strRef>
          </c:cat>
          <c:val>
            <c:numRef>
              <c:f>'Pivot table and Charts'!$D$22:$D$28</c:f>
              <c:numCache>
                <c:formatCode>General</c:formatCode>
                <c:ptCount val="6"/>
                <c:pt idx="0">
                  <c:v>19150</c:v>
                </c:pt>
                <c:pt idx="1">
                  <c:v>33300</c:v>
                </c:pt>
                <c:pt idx="2">
                  <c:v>46050</c:v>
                </c:pt>
                <c:pt idx="3">
                  <c:v>88750</c:v>
                </c:pt>
                <c:pt idx="4">
                  <c:v>26250</c:v>
                </c:pt>
                <c:pt idx="5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C-4151-A854-810D013ED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447056"/>
        <c:axId val="2040388272"/>
      </c:barChart>
      <c:catAx>
        <c:axId val="197644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388272"/>
        <c:crosses val="autoZero"/>
        <c:auto val="1"/>
        <c:lblAlgn val="ctr"/>
        <c:lblOffset val="100"/>
        <c:noMultiLvlLbl val="0"/>
      </c:catAx>
      <c:valAx>
        <c:axId val="204038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4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[SAN_Level1_Task1.xlsx]Pivot table and Charts!PivotTable5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and Charts'!$D$38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and Charts'!$C$39:$C$44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</c:v>
                </c:pt>
                <c:pt idx="4">
                  <c:v>Unknown</c:v>
                </c:pt>
              </c:strCache>
            </c:strRef>
          </c:cat>
          <c:val>
            <c:numRef>
              <c:f>'Pivot table and Charts'!$D$39:$D$44</c:f>
              <c:numCache>
                <c:formatCode>0.00</c:formatCode>
                <c:ptCount val="5"/>
                <c:pt idx="0">
                  <c:v>635.71428571428567</c:v>
                </c:pt>
                <c:pt idx="1">
                  <c:v>821.42857142857144</c:v>
                </c:pt>
                <c:pt idx="2">
                  <c:v>850</c:v>
                </c:pt>
                <c:pt idx="3">
                  <c:v>906.66666666666663</c:v>
                </c:pt>
                <c:pt idx="4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79-4F3B-8E11-64D0A149F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4972208"/>
        <c:axId val="2040457392"/>
      </c:lineChart>
      <c:catAx>
        <c:axId val="197497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457392"/>
        <c:crosses val="autoZero"/>
        <c:auto val="1"/>
        <c:lblAlgn val="ctr"/>
        <c:lblOffset val="100"/>
        <c:noMultiLvlLbl val="0"/>
      </c:catAx>
      <c:valAx>
        <c:axId val="204045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97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0</xdr:row>
      <xdr:rowOff>95626</xdr:rowOff>
    </xdr:from>
    <xdr:to>
      <xdr:col>11</xdr:col>
      <xdr:colOff>461493</xdr:colOff>
      <xdr:row>14</xdr:row>
      <xdr:rowOff>21465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21E61B-EE02-75F5-A9C0-9D2337A89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590280</xdr:colOff>
      <xdr:row>15</xdr:row>
      <xdr:rowOff>141667</xdr:rowOff>
    </xdr:from>
    <xdr:to>
      <xdr:col>12</xdr:col>
      <xdr:colOff>107322</xdr:colOff>
      <xdr:row>30</xdr:row>
      <xdr:rowOff>148107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CC4DCC-9F84-47DB-5FB0-0C24B9017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579549</xdr:colOff>
      <xdr:row>33</xdr:row>
      <xdr:rowOff>109470</xdr:rowOff>
    </xdr:from>
    <xdr:to>
      <xdr:col>12</xdr:col>
      <xdr:colOff>96591</xdr:colOff>
      <xdr:row>48</xdr:row>
      <xdr:rowOff>115909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11D23C-CA47-E12A-3B5B-07E272963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9.786486805555" createdVersion="8" refreshedVersion="8" minRefreshableVersion="3" recordCount="60" xr:uid="{B1323209-3D11-44D4-9212-B9A81C5B386F}">
  <cacheSource type="worksheet">
    <worksheetSource ref="A1:L61" sheet="Cleaned_Data_OF_Order_Dataset"/>
  </cacheSource>
  <cacheFields count="12">
    <cacheField name="Order_ID" numFmtId="0">
      <sharedItems/>
    </cacheField>
    <cacheField name="Customer_Name" numFmtId="0">
      <sharedItems/>
    </cacheField>
    <cacheField name="City" numFmtId="0">
      <sharedItems count="6">
        <s v="Hubballi"/>
        <s v="Unknown"/>
        <s v="Dharwad"/>
        <s v="Belagavi"/>
        <s v="Bengaluru"/>
        <s v="Mysuru"/>
      </sharedItems>
    </cacheField>
    <cacheField name="Category" numFmtId="0">
      <sharedItems count="5">
        <s v="Electronics"/>
        <s v="Grocery"/>
        <s v="Home"/>
        <s v="Clothing"/>
        <s v="Unknown"/>
      </sharedItems>
    </cacheField>
    <cacheField name="Product" numFmtId="0">
      <sharedItems/>
    </cacheField>
    <cacheField name="Order_Date" numFmtId="164">
      <sharedItems containsSemiMixedTypes="0" containsNonDate="0" containsDate="1" containsString="0" minDate="2026-01-05T00:00:00" maxDate="2026-06-04T00:00:00"/>
    </cacheField>
    <cacheField name="Quantity" numFmtId="0">
      <sharedItems containsString="0" containsBlank="1" containsNumber="1" containsInteger="1" minValue="1" maxValue="8"/>
    </cacheField>
    <cacheField name="Unit_Price" numFmtId="0">
      <sharedItems containsString="0" containsBlank="1" containsNumber="1" containsInteger="1" minValue="100" maxValue="2500"/>
    </cacheField>
    <cacheField name="Total_Sales" numFmtId="0">
      <sharedItems containsSemiMixedTypes="0" containsString="0" containsNumber="1" containsInteger="1" minValue="100" maxValue="17500"/>
    </cacheField>
    <cacheField name="Full_Address" numFmtId="0">
      <sharedItems/>
    </cacheField>
    <cacheField name="State" numFmtId="0">
      <sharedItems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O001"/>
    <s v="Rahul"/>
    <x v="0"/>
    <x v="0"/>
    <s v="Headphones"/>
    <d v="2026-02-09T00:00:00"/>
    <n v="8"/>
    <n v="2500"/>
    <n v="6000"/>
    <s v="87 MG Road"/>
    <s v=" Karnataka"/>
    <s v=" India"/>
  </r>
  <r>
    <s v="O002"/>
    <s v="Sneha"/>
    <x v="0"/>
    <x v="1"/>
    <s v="Rice"/>
    <d v="2026-03-05T00:00:00"/>
    <n v="8"/>
    <n v="2500"/>
    <n v="100"/>
    <s v="72 Station Road"/>
    <s v=" Karnataka"/>
    <s v=" India"/>
  </r>
  <r>
    <s v="O003"/>
    <s v="Anita"/>
    <x v="1"/>
    <x v="1"/>
    <s v="Tea"/>
    <d v="2026-01-06T00:00:00"/>
    <n v="8"/>
    <n v="2000"/>
    <n v="2400"/>
    <s v="90 Market Road"/>
    <s v=" Karnataka"/>
    <s v=" India"/>
  </r>
  <r>
    <s v="O004"/>
    <s v="Rahul"/>
    <x v="2"/>
    <x v="2"/>
    <s v="Bottle"/>
    <d v="2026-01-31T00:00:00"/>
    <n v="8"/>
    <n v="2000"/>
    <n v="1500"/>
    <s v="49 MG Road"/>
    <s v=" Karnataka"/>
    <s v=" India"/>
  </r>
  <r>
    <s v="O005"/>
    <s v="Rahul"/>
    <x v="3"/>
    <x v="2"/>
    <s v="Bottle"/>
    <d v="2026-05-22T00:00:00"/>
    <n v="8"/>
    <n v="2000"/>
    <n v="1250"/>
    <s v="49 MG Road"/>
    <s v=" Karnataka"/>
    <s v=" India"/>
  </r>
  <r>
    <s v="O006"/>
    <s v="Priya"/>
    <x v="3"/>
    <x v="2"/>
    <s v="Bottle"/>
    <d v="2026-03-04T00:00:00"/>
    <n v="8"/>
    <n v="2000"/>
    <n v="1000"/>
    <s v="11 Station Road"/>
    <s v=" Karnataka"/>
    <s v=" India"/>
  </r>
  <r>
    <s v="O007"/>
    <s v="Amit"/>
    <x v="2"/>
    <x v="0"/>
    <s v="Speaker"/>
    <d v="2026-02-15T00:00:00"/>
    <n v="8"/>
    <n v="1500"/>
    <n v="10000"/>
    <s v="46 Station Road"/>
    <s v=" Karnataka"/>
    <s v=" India"/>
  </r>
  <r>
    <s v="O008"/>
    <s v="Rohit"/>
    <x v="0"/>
    <x v="2"/>
    <s v="Lamp"/>
    <d v="2026-02-15T00:00:00"/>
    <n v="8"/>
    <n v="1500"/>
    <n v="3300"/>
    <s v="49 College Road"/>
    <s v=" Karnataka"/>
    <s v=" India"/>
  </r>
  <r>
    <s v="O009"/>
    <s v="Neha"/>
    <x v="3"/>
    <x v="3"/>
    <s v="Jacket"/>
    <d v="2026-03-26T00:00:00"/>
    <n v="8"/>
    <n v="1200"/>
    <n v="600"/>
    <s v="35 MG Road"/>
    <s v=" Karnataka"/>
    <s v=" India"/>
  </r>
  <r>
    <s v="O010"/>
    <s v="Anita"/>
    <x v="4"/>
    <x v="0"/>
    <s v="Jacket"/>
    <d v="2026-05-02T00:00:00"/>
    <n v="7"/>
    <n v="1200"/>
    <n v="4000"/>
    <s v="34 Station Road"/>
    <s v=" Karnataka"/>
    <s v=" India"/>
  </r>
  <r>
    <s v="O011"/>
    <s v="Kiran"/>
    <x v="4"/>
    <x v="3"/>
    <s v="Jacket"/>
    <d v="2026-04-07T00:00:00"/>
    <n v="7"/>
    <n v="1200"/>
    <n v="8400"/>
    <s v="18 Market Road"/>
    <s v=" Karnataka"/>
    <s v=" India"/>
  </r>
  <r>
    <s v="O012"/>
    <s v="Rahul"/>
    <x v="0"/>
    <x v="0"/>
    <s v="Headphones"/>
    <d v="2026-04-23T00:00:00"/>
    <n v="7"/>
    <n v="1200"/>
    <n v="2400"/>
    <s v="50 Market Road"/>
    <s v=" Karnataka"/>
    <s v=" India"/>
  </r>
  <r>
    <s v="O013"/>
    <s v="Amit"/>
    <x v="5"/>
    <x v="1"/>
    <s v="Coffee"/>
    <d v="2026-03-14T00:00:00"/>
    <n v="7"/>
    <n v="1200"/>
    <n v="100"/>
    <s v="15 College Road"/>
    <s v=" Karnataka"/>
    <s v=" India"/>
  </r>
  <r>
    <s v="O014"/>
    <s v="Anita"/>
    <x v="2"/>
    <x v="1"/>
    <s v="Tea"/>
    <d v="2026-05-13T00:00:00"/>
    <n v="7"/>
    <n v="1200"/>
    <n v="800"/>
    <s v="65 MG Road"/>
    <s v=" Karnataka"/>
    <s v=" India"/>
  </r>
  <r>
    <s v="O015"/>
    <s v="  Sneha  "/>
    <x v="0"/>
    <x v="2"/>
    <s v="Chair"/>
    <d v="2026-05-23T00:00:00"/>
    <n v="7"/>
    <n v="1200"/>
    <n v="2100"/>
    <s v="77 College Road"/>
    <s v=" Karnataka"/>
    <s v=" India"/>
  </r>
  <r>
    <s v="O016"/>
    <s v="Sneha"/>
    <x v="2"/>
    <x v="1"/>
    <s v="Rice"/>
    <d v="2026-03-07T00:00:00"/>
    <n v="7"/>
    <n v="1100"/>
    <n v="400"/>
    <s v="31 MG Road"/>
    <s v=" Karnataka"/>
    <s v=" India"/>
  </r>
  <r>
    <s v="O017"/>
    <s v="Rohit"/>
    <x v="0"/>
    <x v="0"/>
    <s v="Speaker"/>
    <d v="2026-02-06T00:00:00"/>
    <n v="7"/>
    <n v="1100"/>
    <n v="5000"/>
    <s v="71 Station Road"/>
    <s v=" Karnataka"/>
    <s v=" India"/>
  </r>
  <r>
    <s v="O018"/>
    <s v="Neha"/>
    <x v="0"/>
    <x v="2"/>
    <s v="Cushion"/>
    <d v="2026-03-25T00:00:00"/>
    <n v="6"/>
    <n v="1100"/>
    <n v="4400"/>
    <s v="86 College Road"/>
    <s v=" Karnataka"/>
    <s v=" India"/>
  </r>
  <r>
    <s v="O019"/>
    <s v="Amit"/>
    <x v="0"/>
    <x v="1"/>
    <s v="Biscuits"/>
    <d v="2026-01-21T00:00:00"/>
    <n v="6"/>
    <n v="1100"/>
    <n v="300"/>
    <s v="3 Station Road"/>
    <s v=" Karnataka"/>
    <s v=" India"/>
  </r>
  <r>
    <s v="O020"/>
    <s v="Sneha"/>
    <x v="0"/>
    <x v="3"/>
    <s v="T-Shirt"/>
    <d v="2026-03-15T00:00:00"/>
    <n v="6"/>
    <n v="1100"/>
    <n v="800"/>
    <s v="43 MG Road"/>
    <s v=" Karnataka"/>
    <s v=" India"/>
  </r>
  <r>
    <s v="O021"/>
    <s v="Rohit"/>
    <x v="5"/>
    <x v="3"/>
    <s v="Jacket"/>
    <d v="2026-02-07T00:00:00"/>
    <n v="6"/>
    <n v="1100"/>
    <n v="4800"/>
    <s v="32 Market Road"/>
    <s v=" Karnataka"/>
    <s v=" India"/>
  </r>
  <r>
    <s v="O022"/>
    <s v="Neha"/>
    <x v="4"/>
    <x v="1"/>
    <s v="Tea"/>
    <d v="2026-04-05T00:00:00"/>
    <n v="6"/>
    <n v="1000"/>
    <n v="200"/>
    <s v="53 Market Road"/>
    <s v=" Karnataka"/>
    <s v=" India"/>
  </r>
  <r>
    <s v="O023"/>
    <s v="Kiran"/>
    <x v="2"/>
    <x v="0"/>
    <s v="Headphones"/>
    <d v="2026-02-01T00:00:00"/>
    <n v="6"/>
    <n v="1000"/>
    <n v="2000"/>
    <s v="25 Station Road"/>
    <s v=" Karnataka"/>
    <s v=" India"/>
  </r>
  <r>
    <s v="O024"/>
    <s v="Kiran"/>
    <x v="2"/>
    <x v="1"/>
    <s v="Tea"/>
    <d v="2026-05-03T00:00:00"/>
    <n v="5"/>
    <n v="900"/>
    <n v="1050"/>
    <s v="10 Market Road"/>
    <s v=" Karnataka"/>
    <s v=" India"/>
  </r>
  <r>
    <s v="O025"/>
    <s v="Neha"/>
    <x v="1"/>
    <x v="0"/>
    <s v="Headphones"/>
    <d v="2026-02-16T00:00:00"/>
    <n v="5"/>
    <n v="800"/>
    <n v="800"/>
    <s v="63 Market Road"/>
    <s v=" Karnataka"/>
    <s v=" India"/>
  </r>
  <r>
    <s v="O026"/>
    <s v="Neha"/>
    <x v="4"/>
    <x v="3"/>
    <s v="Shoes"/>
    <d v="2026-01-05T00:00:00"/>
    <n v="5"/>
    <n v="800"/>
    <n v="600"/>
    <s v="34 Market Road"/>
    <s v=" Karnataka"/>
    <s v=" India"/>
  </r>
  <r>
    <s v="O027"/>
    <s v="Kiran"/>
    <x v="0"/>
    <x v="2"/>
    <s v="Cushion"/>
    <d v="2026-03-21T00:00:00"/>
    <n v="5"/>
    <n v="800"/>
    <n v="4000"/>
    <s v="8 MG Road"/>
    <s v=" Karnataka"/>
    <s v=" India"/>
  </r>
  <r>
    <s v="O028"/>
    <s v="Anita"/>
    <x v="4"/>
    <x v="2"/>
    <s v="Lamp"/>
    <d v="2026-05-13T00:00:00"/>
    <n v="5"/>
    <n v="800"/>
    <n v="1100"/>
    <s v="8 MG Road"/>
    <s v=" Karnataka"/>
    <s v=" India"/>
  </r>
  <r>
    <s v="O029"/>
    <s v="Kiran"/>
    <x v="4"/>
    <x v="3"/>
    <s v="T-Shirt"/>
    <d v="2026-02-04T00:00:00"/>
    <n v="5"/>
    <n v="800"/>
    <n v="1200"/>
    <s v="75 MG Road"/>
    <s v=" Karnataka"/>
    <s v=" India"/>
  </r>
  <r>
    <s v="O030"/>
    <s v="Kiran"/>
    <x v="0"/>
    <x v="4"/>
    <s v="Speaker"/>
    <d v="2026-03-26T00:00:00"/>
    <n v="5"/>
    <n v="700"/>
    <n v="9000"/>
    <s v="34 Market Road"/>
    <s v=" Karnataka"/>
    <s v=" India"/>
  </r>
  <r>
    <s v="O031"/>
    <s v="Rohit"/>
    <x v="3"/>
    <x v="3"/>
    <s v="Jacket"/>
    <d v="2026-01-07T00:00:00"/>
    <n v="4"/>
    <n v="700"/>
    <n v="6400"/>
    <s v="80 MG Road"/>
    <s v=" Karnataka"/>
    <s v=" India"/>
  </r>
  <r>
    <s v="O032"/>
    <s v="Kiran"/>
    <x v="2"/>
    <x v="0"/>
    <s v="Keyboard"/>
    <d v="2026-01-22T00:00:00"/>
    <n v="4"/>
    <n v="600"/>
    <n v="6000"/>
    <s v="48 College Road"/>
    <s v=" Karnataka"/>
    <s v=" India"/>
  </r>
  <r>
    <s v="O033"/>
    <s v="Priya"/>
    <x v="5"/>
    <x v="3"/>
    <s v="Shoes"/>
    <d v="2026-01-07T00:00:00"/>
    <n v="4"/>
    <n v="600"/>
    <n v="6000"/>
    <s v="85 MG Road"/>
    <s v=" Karnataka"/>
    <s v=" India"/>
  </r>
  <r>
    <s v="O034"/>
    <s v="Priya"/>
    <x v="5"/>
    <x v="3"/>
    <s v="Jacket"/>
    <d v="2026-02-13T00:00:00"/>
    <n v="4"/>
    <n v="600"/>
    <n v="800"/>
    <s v="37 Station Road"/>
    <s v=" Karnataka"/>
    <s v=" India"/>
  </r>
  <r>
    <s v="O035"/>
    <s v="Sneha"/>
    <x v="4"/>
    <x v="2"/>
    <s v="Unknown"/>
    <d v="2026-03-10T00:00:00"/>
    <n v="4"/>
    <n v="600"/>
    <n v="5500"/>
    <s v="12 Market Road"/>
    <s v=" Karnataka"/>
    <s v=" India"/>
  </r>
  <r>
    <s v="O036"/>
    <s v="Anita"/>
    <x v="0"/>
    <x v="2"/>
    <s v="Lamp"/>
    <d v="2026-03-13T00:00:00"/>
    <n v="4"/>
    <n v="600"/>
    <n v="700"/>
    <s v="95 Market Road"/>
    <s v=" Karnataka"/>
    <s v=" India"/>
  </r>
  <r>
    <s v="O037"/>
    <s v="Sneha"/>
    <x v="0"/>
    <x v="1"/>
    <s v="Rice"/>
    <d v="2026-05-24T00:00:00"/>
    <n v="4"/>
    <n v="500"/>
    <n v="200"/>
    <s v="48 Station Road"/>
    <s v=" Karnataka"/>
    <s v=" India"/>
  </r>
  <r>
    <s v="O038"/>
    <s v="Amit"/>
    <x v="2"/>
    <x v="1"/>
    <s v="Tea"/>
    <d v="2026-01-15T00:00:00"/>
    <n v="3"/>
    <n v="500"/>
    <n v="200"/>
    <s v="27 Station Road"/>
    <s v=" Karnataka"/>
    <s v=" India"/>
  </r>
  <r>
    <s v="O039"/>
    <s v="Anita"/>
    <x v="0"/>
    <x v="0"/>
    <s v="Mouse"/>
    <d v="2026-03-06T00:00:00"/>
    <n v="3"/>
    <n v="400"/>
    <n v="17500"/>
    <s v="23 Market Road"/>
    <s v=" Karnataka"/>
    <s v=" India"/>
  </r>
  <r>
    <s v="O040"/>
    <s v="Anita"/>
    <x v="0"/>
    <x v="0"/>
    <s v="Keyboard"/>
    <d v="2026-03-14T00:00:00"/>
    <n v="3"/>
    <n v="400"/>
    <n v="12000"/>
    <s v="90 MG Road"/>
    <s v=" Karnataka"/>
    <s v=" India"/>
  </r>
  <r>
    <s v="O041"/>
    <s v="Amit"/>
    <x v="0"/>
    <x v="1"/>
    <s v="Rice"/>
    <d v="2026-05-02T00:00:00"/>
    <n v="2"/>
    <n v="300"/>
    <n v="1200"/>
    <s v="40 Station Road"/>
    <s v=" Karnataka"/>
    <s v=" India"/>
  </r>
  <r>
    <s v="O042"/>
    <s v="Rahul"/>
    <x v="2"/>
    <x v="3"/>
    <s v="T-Shirt"/>
    <d v="2026-03-17T00:00:00"/>
    <n v="2"/>
    <n v="250"/>
    <n v="4000"/>
    <s v="99 College Road"/>
    <s v=" Karnataka"/>
    <s v=" India"/>
  </r>
  <r>
    <s v="O043"/>
    <s v="Anita"/>
    <x v="3"/>
    <x v="2"/>
    <s v="Cushion"/>
    <d v="2026-03-12T00:00:00"/>
    <n v="2"/>
    <n v="250"/>
    <n v="1500"/>
    <s v="75 College Road"/>
    <s v=" Karnataka"/>
    <s v=" India"/>
  </r>
  <r>
    <s v="O044"/>
    <s v="Rahul"/>
    <x v="2"/>
    <x v="0"/>
    <s v="Headphones"/>
    <d v="2026-04-26T00:00:00"/>
    <n v="2"/>
    <n v="250"/>
    <n v="10500"/>
    <s v="50 Station Road"/>
    <s v=" Karnataka"/>
    <s v=" India"/>
  </r>
  <r>
    <s v="O045"/>
    <s v="Kiran"/>
    <x v="5"/>
    <x v="2"/>
    <s v="Lamp"/>
    <d v="2026-05-22T00:00:00"/>
    <n v="2"/>
    <n v="250"/>
    <n v="1750"/>
    <s v="47 Market Road"/>
    <s v=" Karnataka"/>
    <s v=" India"/>
  </r>
  <r>
    <s v="O046"/>
    <s v="Priya"/>
    <x v="2"/>
    <x v="0"/>
    <s v="Mouse"/>
    <d v="2026-05-14T00:00:00"/>
    <n v="2"/>
    <n v="250"/>
    <n v="4800"/>
    <s v="86 Market Road"/>
    <s v=" Karnataka"/>
    <s v=" India"/>
  </r>
  <r>
    <s v="O047"/>
    <s v="Neha"/>
    <x v="0"/>
    <x v="2"/>
    <s v="Cushion"/>
    <d v="2026-02-23T00:00:00"/>
    <n v="2"/>
    <n v="200"/>
    <n v="5500"/>
    <s v="86 Market Road"/>
    <s v=" Karnataka"/>
    <s v=" India"/>
  </r>
  <r>
    <s v="O048"/>
    <s v="Priya"/>
    <x v="3"/>
    <x v="3"/>
    <s v="Jacket"/>
    <d v="2026-03-23T00:00:00"/>
    <n v="2"/>
    <n v="200"/>
    <n v="8400"/>
    <s v="27 Market Road"/>
    <s v=" Karnataka"/>
    <s v=" India"/>
  </r>
  <r>
    <s v="O049"/>
    <s v="Rohit"/>
    <x v="0"/>
    <x v="2"/>
    <s v="Cushion"/>
    <d v="2026-05-15T00:00:00"/>
    <n v="2"/>
    <n v="200"/>
    <n v="7200"/>
    <s v="95 Station Road"/>
    <s v=" Karnataka"/>
    <s v=" India"/>
  </r>
  <r>
    <s v="O050"/>
    <s v="Kiran"/>
    <x v="0"/>
    <x v="0"/>
    <s v="Mouse"/>
    <d v="2026-03-25T00:00:00"/>
    <n v="1"/>
    <n v="150"/>
    <n v="4800"/>
    <s v="24 Station Road"/>
    <s v=" Karnataka"/>
    <s v=" India"/>
  </r>
  <r>
    <s v="O051"/>
    <s v="Rohit"/>
    <x v="5"/>
    <x v="0"/>
    <s v="Headphones"/>
    <d v="2026-01-23T00:00:00"/>
    <n v="1"/>
    <n v="150"/>
    <n v="8000"/>
    <s v="54 Station Road"/>
    <s v=" Karnataka"/>
    <s v=" India"/>
  </r>
  <r>
    <s v="O052"/>
    <s v="Rahul"/>
    <x v="0"/>
    <x v="1"/>
    <s v="Biscuits"/>
    <d v="2026-01-06T00:00:00"/>
    <n v="1"/>
    <n v="150"/>
    <n v="1050"/>
    <s v="55 Station Road"/>
    <s v=" Karnataka"/>
    <s v=" India"/>
  </r>
  <r>
    <s v="O053"/>
    <s v="Rohit"/>
    <x v="0"/>
    <x v="3"/>
    <s v="Shoes"/>
    <d v="2026-02-05T00:00:00"/>
    <n v="1"/>
    <n v="150"/>
    <n v="1200"/>
    <s v="18 Market Road"/>
    <s v=" Karnataka"/>
    <s v=" India"/>
  </r>
  <r>
    <s v="O054"/>
    <s v="Rohit"/>
    <x v="4"/>
    <x v="2"/>
    <s v="Cushion"/>
    <d v="2026-02-14T00:00:00"/>
    <n v="1"/>
    <n v="100"/>
    <n v="7700"/>
    <s v="58 College Road"/>
    <s v=" Karnataka"/>
    <s v=" India"/>
  </r>
  <r>
    <s v="O055"/>
    <s v="Rahul"/>
    <x v="2"/>
    <x v="3"/>
    <s v="Jacket"/>
    <d v="2026-04-27T00:00:00"/>
    <n v="1"/>
    <n v="100"/>
    <n v="4800"/>
    <s v="18 MG Road"/>
    <s v=" Karnataka"/>
    <s v=" India"/>
  </r>
  <r>
    <s v="O056"/>
    <s v="Anita"/>
    <x v="5"/>
    <x v="3"/>
    <s v="Jacket"/>
    <d v="2026-01-25T00:00:00"/>
    <n v="1"/>
    <n v="100"/>
    <n v="4800"/>
    <s v="20 Station Road"/>
    <s v=" Karnataka"/>
    <s v=" India"/>
  </r>
  <r>
    <s v="O057"/>
    <s v="Amit"/>
    <x v="4"/>
    <x v="1"/>
    <s v="Tea"/>
    <d v="2026-04-19T00:00:00"/>
    <n v="1"/>
    <n v="100"/>
    <n v="400"/>
    <s v="70 Market Road"/>
    <s v=" Karnataka"/>
    <s v=" India"/>
  </r>
  <r>
    <s v="O058"/>
    <s v="Sneha"/>
    <x v="4"/>
    <x v="1"/>
    <s v="Rice"/>
    <d v="2026-06-03T00:00:00"/>
    <n v="1"/>
    <n v="100"/>
    <n v="1000"/>
    <s v="98 Market Road"/>
    <s v=" Karnataka"/>
    <s v=" India"/>
  </r>
  <r>
    <s v="O059"/>
    <s v="Kiran"/>
    <x v="4"/>
    <x v="1"/>
    <s v="Rice"/>
    <d v="2026-04-22T00:00:00"/>
    <n v="1"/>
    <n v="100"/>
    <n v="1200"/>
    <s v="63 Station Road"/>
    <s v=" Karnataka"/>
    <s v=" India"/>
  </r>
  <r>
    <s v="O060"/>
    <s v="Neha"/>
    <x v="4"/>
    <x v="2"/>
    <s v="Cushion"/>
    <d v="2026-04-01T00:00:00"/>
    <m/>
    <m/>
    <n v="2000"/>
    <s v="93 Station Road"/>
    <s v=" Karnataka"/>
    <s v=" Ind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F256D-5D7F-4752-BE99-D8A1EDB5D0F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5:D11" firstHeaderRow="1" firstDataRow="1" firstDataCol="1"/>
  <pivotFields count="12"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numFmtId="164"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120E9-ECD8-41CF-AC49-C86ECB388713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21:D28" firstHeaderRow="1" firstDataRow="1" firstDataCol="1"/>
  <pivotFields count="12">
    <pivotField showAll="0"/>
    <pivotField showAll="0"/>
    <pivotField axis="axisRow" showAll="0">
      <items count="7">
        <item x="3"/>
        <item x="4"/>
        <item x="2"/>
        <item x="0"/>
        <item x="5"/>
        <item x="1"/>
        <item t="default"/>
      </items>
    </pivotField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6E8E9-6C07-46E0-8D42-7F4398AAC888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38:D44" firstHeaderRow="1" firstDataRow="1" firstDataCol="1"/>
  <pivotFields count="12"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numFmtId="164"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Unit_Price" fld="7" subtotal="average" baseField="3" baseItem="0"/>
  </dataFields>
  <formats count="2">
    <format dxfId="0">
      <pivotArea dataOnly="0" labelOnly="1" outline="0" axis="axisValues" fieldPosition="0"/>
    </format>
    <format dxfId="1">
      <pivotArea collapsedLevelsAreSubtotals="1" fieldPosition="0">
        <references count="1">
          <reference field="3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D9E45-516B-47E1-9309-A2B9D8C227D8}">
  <dimension ref="A1:J63"/>
  <sheetViews>
    <sheetView zoomScale="110" workbookViewId="0">
      <selection activeCell="B65" sqref="B6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37</v>
      </c>
    </row>
    <row r="2" spans="1:10" x14ac:dyDescent="0.3">
      <c r="A2" t="s">
        <v>38</v>
      </c>
      <c r="B2" t="s">
        <v>22</v>
      </c>
      <c r="C2" t="s">
        <v>31</v>
      </c>
      <c r="D2" t="s">
        <v>10</v>
      </c>
      <c r="E2" t="s">
        <v>11</v>
      </c>
      <c r="F2" s="1">
        <v>46062</v>
      </c>
      <c r="G2">
        <v>5</v>
      </c>
      <c r="H2">
        <v>1200</v>
      </c>
      <c r="I2">
        <v>6000</v>
      </c>
      <c r="J2" t="s">
        <v>39</v>
      </c>
    </row>
    <row r="3" spans="1:10" x14ac:dyDescent="0.3">
      <c r="A3" t="s">
        <v>40</v>
      </c>
      <c r="B3" t="s">
        <v>27</v>
      </c>
      <c r="C3" t="s">
        <v>31</v>
      </c>
      <c r="D3" t="s">
        <v>20</v>
      </c>
      <c r="E3" t="s">
        <v>25</v>
      </c>
      <c r="F3" s="1">
        <v>46086</v>
      </c>
      <c r="G3">
        <v>1</v>
      </c>
      <c r="H3">
        <v>100</v>
      </c>
      <c r="I3">
        <v>100</v>
      </c>
      <c r="J3" t="s">
        <v>41</v>
      </c>
    </row>
    <row r="4" spans="1:10" x14ac:dyDescent="0.3">
      <c r="A4" t="s">
        <v>42</v>
      </c>
      <c r="B4" t="s">
        <v>43</v>
      </c>
      <c r="C4" t="s">
        <v>44</v>
      </c>
      <c r="D4" t="s">
        <v>20</v>
      </c>
      <c r="E4" t="s">
        <v>45</v>
      </c>
      <c r="F4" s="1">
        <v>46028</v>
      </c>
      <c r="G4">
        <v>8</v>
      </c>
      <c r="H4">
        <v>300</v>
      </c>
      <c r="I4">
        <v>2400</v>
      </c>
      <c r="J4" t="s">
        <v>46</v>
      </c>
    </row>
    <row r="5" spans="1:10" x14ac:dyDescent="0.3">
      <c r="A5" t="s">
        <v>47</v>
      </c>
      <c r="B5" t="s">
        <v>22</v>
      </c>
      <c r="C5" t="s">
        <v>44</v>
      </c>
      <c r="D5" t="s">
        <v>17</v>
      </c>
      <c r="E5" t="s">
        <v>21</v>
      </c>
      <c r="F5" s="1">
        <v>46053</v>
      </c>
      <c r="G5">
        <v>3</v>
      </c>
      <c r="H5">
        <v>500</v>
      </c>
      <c r="I5">
        <v>1500</v>
      </c>
      <c r="J5" t="s">
        <v>48</v>
      </c>
    </row>
    <row r="6" spans="1:10" x14ac:dyDescent="0.3">
      <c r="A6" t="s">
        <v>49</v>
      </c>
      <c r="B6" t="s">
        <v>22</v>
      </c>
      <c r="C6" t="s">
        <v>19</v>
      </c>
      <c r="D6" t="s">
        <v>17</v>
      </c>
      <c r="E6" t="s">
        <v>21</v>
      </c>
      <c r="F6" s="1">
        <v>46164</v>
      </c>
      <c r="G6">
        <v>5</v>
      </c>
      <c r="H6">
        <v>250</v>
      </c>
      <c r="I6">
        <v>1250</v>
      </c>
      <c r="J6" t="s">
        <v>50</v>
      </c>
    </row>
    <row r="7" spans="1:10" x14ac:dyDescent="0.3">
      <c r="A7" t="s">
        <v>51</v>
      </c>
      <c r="B7" t="s">
        <v>24</v>
      </c>
      <c r="C7" t="s">
        <v>12</v>
      </c>
      <c r="D7" t="s">
        <v>17</v>
      </c>
      <c r="E7" t="s">
        <v>21</v>
      </c>
      <c r="F7" s="1">
        <v>46085</v>
      </c>
      <c r="G7">
        <v>4</v>
      </c>
      <c r="H7">
        <v>250</v>
      </c>
      <c r="I7">
        <v>1000</v>
      </c>
      <c r="J7" t="s">
        <v>52</v>
      </c>
    </row>
    <row r="8" spans="1:10" x14ac:dyDescent="0.3">
      <c r="A8" t="s">
        <v>53</v>
      </c>
      <c r="B8" t="s">
        <v>35</v>
      </c>
      <c r="C8" t="s">
        <v>44</v>
      </c>
      <c r="D8" t="s">
        <v>10</v>
      </c>
      <c r="E8" t="s">
        <v>23</v>
      </c>
      <c r="F8" s="1">
        <v>46068</v>
      </c>
      <c r="G8">
        <v>5</v>
      </c>
      <c r="H8">
        <v>2000</v>
      </c>
      <c r="I8">
        <v>10000</v>
      </c>
      <c r="J8" t="s">
        <v>54</v>
      </c>
    </row>
    <row r="9" spans="1:10" x14ac:dyDescent="0.3">
      <c r="A9" t="s">
        <v>55</v>
      </c>
      <c r="B9" t="s">
        <v>56</v>
      </c>
      <c r="C9" t="s">
        <v>31</v>
      </c>
      <c r="D9" t="s">
        <v>17</v>
      </c>
      <c r="E9" t="s">
        <v>33</v>
      </c>
      <c r="F9" s="1">
        <v>46068</v>
      </c>
      <c r="G9">
        <v>3</v>
      </c>
      <c r="H9">
        <v>1100</v>
      </c>
      <c r="I9">
        <v>3300</v>
      </c>
      <c r="J9" t="s">
        <v>57</v>
      </c>
    </row>
    <row r="10" spans="1:10" x14ac:dyDescent="0.3">
      <c r="A10" t="s">
        <v>58</v>
      </c>
      <c r="B10" t="s">
        <v>16</v>
      </c>
      <c r="C10" t="s">
        <v>12</v>
      </c>
      <c r="D10" t="s">
        <v>14</v>
      </c>
      <c r="E10" t="s">
        <v>32</v>
      </c>
      <c r="F10" s="1">
        <v>46107</v>
      </c>
      <c r="G10">
        <v>1</v>
      </c>
      <c r="H10">
        <v>600</v>
      </c>
      <c r="I10">
        <v>600</v>
      </c>
      <c r="J10" t="s">
        <v>59</v>
      </c>
    </row>
    <row r="11" spans="1:10" x14ac:dyDescent="0.3">
      <c r="A11" t="s">
        <v>60</v>
      </c>
      <c r="B11" t="s">
        <v>43</v>
      </c>
      <c r="C11" t="s">
        <v>9</v>
      </c>
      <c r="D11" t="s">
        <v>29</v>
      </c>
      <c r="E11" t="s">
        <v>32</v>
      </c>
      <c r="F11" s="1">
        <v>46144</v>
      </c>
      <c r="G11">
        <v>4</v>
      </c>
      <c r="H11">
        <v>1000</v>
      </c>
      <c r="I11">
        <v>4000</v>
      </c>
      <c r="J11" t="s">
        <v>61</v>
      </c>
    </row>
    <row r="12" spans="1:10" x14ac:dyDescent="0.3">
      <c r="A12" t="s">
        <v>62</v>
      </c>
      <c r="B12" t="s">
        <v>18</v>
      </c>
      <c r="C12" t="s">
        <v>9</v>
      </c>
      <c r="D12" t="s">
        <v>14</v>
      </c>
      <c r="E12" t="s">
        <v>32</v>
      </c>
      <c r="F12" s="1">
        <v>46119</v>
      </c>
      <c r="G12">
        <v>7</v>
      </c>
      <c r="H12">
        <v>1200</v>
      </c>
      <c r="I12">
        <v>8400</v>
      </c>
      <c r="J12" t="s">
        <v>63</v>
      </c>
    </row>
    <row r="13" spans="1:10" x14ac:dyDescent="0.3">
      <c r="A13" t="s">
        <v>64</v>
      </c>
      <c r="B13" t="s">
        <v>22</v>
      </c>
      <c r="C13" t="s">
        <v>31</v>
      </c>
      <c r="D13" t="s">
        <v>10</v>
      </c>
      <c r="E13" t="s">
        <v>11</v>
      </c>
      <c r="F13" s="1">
        <v>46135</v>
      </c>
      <c r="G13">
        <v>2</v>
      </c>
      <c r="H13">
        <v>1200</v>
      </c>
      <c r="I13">
        <v>2400</v>
      </c>
      <c r="J13" t="s">
        <v>65</v>
      </c>
    </row>
    <row r="14" spans="1:10" x14ac:dyDescent="0.3">
      <c r="A14" t="s">
        <v>66</v>
      </c>
      <c r="B14" t="s">
        <v>35</v>
      </c>
      <c r="C14" t="s">
        <v>13</v>
      </c>
      <c r="D14" t="s">
        <v>20</v>
      </c>
      <c r="E14" t="s">
        <v>28</v>
      </c>
      <c r="F14" s="1">
        <v>46095</v>
      </c>
      <c r="G14">
        <v>1</v>
      </c>
      <c r="H14">
        <v>100</v>
      </c>
      <c r="I14">
        <v>100</v>
      </c>
      <c r="J14" t="s">
        <v>67</v>
      </c>
    </row>
    <row r="15" spans="1:10" x14ac:dyDescent="0.3">
      <c r="A15" t="s">
        <v>68</v>
      </c>
      <c r="B15" t="s">
        <v>43</v>
      </c>
      <c r="C15" t="s">
        <v>44</v>
      </c>
      <c r="D15" t="s">
        <v>20</v>
      </c>
      <c r="E15" t="s">
        <v>45</v>
      </c>
      <c r="F15" s="1">
        <v>46155</v>
      </c>
      <c r="G15">
        <v>8</v>
      </c>
      <c r="H15">
        <v>100</v>
      </c>
      <c r="I15">
        <v>800</v>
      </c>
      <c r="J15" t="s">
        <v>69</v>
      </c>
    </row>
    <row r="16" spans="1:10" x14ac:dyDescent="0.3">
      <c r="A16" t="s">
        <v>70</v>
      </c>
      <c r="B16" t="s">
        <v>71</v>
      </c>
      <c r="C16" t="s">
        <v>31</v>
      </c>
      <c r="D16" t="s">
        <v>17</v>
      </c>
      <c r="E16" t="s">
        <v>72</v>
      </c>
      <c r="F16" s="1">
        <v>46165</v>
      </c>
      <c r="G16">
        <v>3</v>
      </c>
      <c r="H16">
        <v>700</v>
      </c>
      <c r="I16">
        <v>2100</v>
      </c>
      <c r="J16" t="s">
        <v>73</v>
      </c>
    </row>
    <row r="17" spans="1:10" x14ac:dyDescent="0.3">
      <c r="A17" t="s">
        <v>74</v>
      </c>
      <c r="B17" t="s">
        <v>27</v>
      </c>
      <c r="C17" t="s">
        <v>44</v>
      </c>
      <c r="D17" t="s">
        <v>20</v>
      </c>
      <c r="E17" t="s">
        <v>25</v>
      </c>
      <c r="F17" s="1">
        <v>46088</v>
      </c>
      <c r="G17">
        <v>2</v>
      </c>
      <c r="H17">
        <v>200</v>
      </c>
      <c r="I17">
        <v>400</v>
      </c>
      <c r="J17" t="s">
        <v>75</v>
      </c>
    </row>
    <row r="18" spans="1:10" x14ac:dyDescent="0.3">
      <c r="A18" t="s">
        <v>76</v>
      </c>
      <c r="B18" t="s">
        <v>56</v>
      </c>
      <c r="C18" t="s">
        <v>31</v>
      </c>
      <c r="D18" t="s">
        <v>10</v>
      </c>
      <c r="E18" t="s">
        <v>23</v>
      </c>
      <c r="F18" s="1">
        <v>46059</v>
      </c>
      <c r="G18">
        <v>2</v>
      </c>
      <c r="H18">
        <v>2500</v>
      </c>
      <c r="I18">
        <v>5000</v>
      </c>
      <c r="J18" t="s">
        <v>77</v>
      </c>
    </row>
    <row r="19" spans="1:10" x14ac:dyDescent="0.3">
      <c r="A19" t="s">
        <v>78</v>
      </c>
      <c r="B19" t="s">
        <v>16</v>
      </c>
      <c r="C19" t="s">
        <v>31</v>
      </c>
      <c r="D19" t="s">
        <v>17</v>
      </c>
      <c r="E19" t="s">
        <v>79</v>
      </c>
      <c r="F19" s="1">
        <v>46106</v>
      </c>
      <c r="G19">
        <v>4</v>
      </c>
      <c r="H19">
        <v>1100</v>
      </c>
      <c r="I19">
        <v>4400</v>
      </c>
      <c r="J19" t="s">
        <v>80</v>
      </c>
    </row>
    <row r="20" spans="1:10" x14ac:dyDescent="0.3">
      <c r="A20" t="s">
        <v>81</v>
      </c>
      <c r="B20" t="s">
        <v>35</v>
      </c>
      <c r="C20" t="s">
        <v>31</v>
      </c>
      <c r="D20" t="s">
        <v>20</v>
      </c>
      <c r="E20" t="s">
        <v>34</v>
      </c>
      <c r="F20" s="1">
        <v>46043</v>
      </c>
      <c r="G20">
        <v>2</v>
      </c>
      <c r="H20">
        <v>150</v>
      </c>
      <c r="I20">
        <v>300</v>
      </c>
      <c r="J20" t="s">
        <v>82</v>
      </c>
    </row>
    <row r="21" spans="1:10" x14ac:dyDescent="0.3">
      <c r="A21" t="s">
        <v>83</v>
      </c>
      <c r="B21" t="s">
        <v>27</v>
      </c>
      <c r="C21" t="s">
        <v>31</v>
      </c>
      <c r="D21" t="s">
        <v>14</v>
      </c>
      <c r="E21" t="s">
        <v>15</v>
      </c>
      <c r="F21" t="s">
        <v>84</v>
      </c>
      <c r="G21">
        <v>2</v>
      </c>
      <c r="H21">
        <v>400</v>
      </c>
      <c r="I21">
        <v>800</v>
      </c>
      <c r="J21" t="s">
        <v>85</v>
      </c>
    </row>
    <row r="22" spans="1:10" x14ac:dyDescent="0.3">
      <c r="A22" t="s">
        <v>86</v>
      </c>
      <c r="B22" t="s">
        <v>56</v>
      </c>
      <c r="C22" t="s">
        <v>13</v>
      </c>
      <c r="D22" t="s">
        <v>14</v>
      </c>
      <c r="E22" t="s">
        <v>32</v>
      </c>
      <c r="F22" s="1">
        <v>46060</v>
      </c>
      <c r="G22">
        <v>8</v>
      </c>
      <c r="H22">
        <v>600</v>
      </c>
      <c r="I22">
        <v>4800</v>
      </c>
      <c r="J22" t="s">
        <v>87</v>
      </c>
    </row>
    <row r="23" spans="1:10" x14ac:dyDescent="0.3">
      <c r="A23" t="s">
        <v>88</v>
      </c>
      <c r="B23" t="s">
        <v>16</v>
      </c>
      <c r="C23" t="s">
        <v>9</v>
      </c>
      <c r="D23" t="s">
        <v>20</v>
      </c>
      <c r="E23" t="s">
        <v>45</v>
      </c>
      <c r="F23" s="1">
        <v>46117</v>
      </c>
      <c r="G23">
        <v>2</v>
      </c>
      <c r="H23">
        <v>100</v>
      </c>
      <c r="I23">
        <v>200</v>
      </c>
      <c r="J23" t="s">
        <v>89</v>
      </c>
    </row>
    <row r="24" spans="1:10" x14ac:dyDescent="0.3">
      <c r="A24" t="s">
        <v>90</v>
      </c>
      <c r="B24" t="s">
        <v>18</v>
      </c>
      <c r="C24" t="s">
        <v>44</v>
      </c>
      <c r="D24" t="s">
        <v>10</v>
      </c>
      <c r="E24" t="s">
        <v>11</v>
      </c>
      <c r="F24" s="1">
        <v>46054</v>
      </c>
      <c r="G24">
        <v>1</v>
      </c>
      <c r="H24">
        <v>2000</v>
      </c>
      <c r="I24">
        <v>2000</v>
      </c>
      <c r="J24" t="s">
        <v>91</v>
      </c>
    </row>
    <row r="25" spans="1:10" x14ac:dyDescent="0.3">
      <c r="A25" t="s">
        <v>92</v>
      </c>
      <c r="B25" t="s">
        <v>18</v>
      </c>
      <c r="C25" t="s">
        <v>44</v>
      </c>
      <c r="D25" t="s">
        <v>20</v>
      </c>
      <c r="E25" t="s">
        <v>45</v>
      </c>
      <c r="F25" s="1">
        <v>46145</v>
      </c>
      <c r="G25">
        <v>7</v>
      </c>
      <c r="H25">
        <v>150</v>
      </c>
      <c r="I25">
        <v>1050</v>
      </c>
      <c r="J25" t="s">
        <v>93</v>
      </c>
    </row>
    <row r="26" spans="1:10" x14ac:dyDescent="0.3">
      <c r="A26" t="s">
        <v>94</v>
      </c>
      <c r="B26" t="s">
        <v>16</v>
      </c>
      <c r="D26" t="s">
        <v>10</v>
      </c>
      <c r="E26" t="s">
        <v>11</v>
      </c>
      <c r="F26" s="1">
        <v>46069</v>
      </c>
      <c r="G26">
        <v>1</v>
      </c>
      <c r="H26">
        <v>800</v>
      </c>
      <c r="I26">
        <v>800</v>
      </c>
      <c r="J26" t="s">
        <v>95</v>
      </c>
    </row>
    <row r="27" spans="1:10" x14ac:dyDescent="0.3">
      <c r="A27" t="s">
        <v>96</v>
      </c>
      <c r="B27" t="s">
        <v>16</v>
      </c>
      <c r="C27" t="s">
        <v>9</v>
      </c>
      <c r="D27" t="s">
        <v>14</v>
      </c>
      <c r="E27" t="s">
        <v>97</v>
      </c>
      <c r="F27" s="1">
        <v>46027</v>
      </c>
      <c r="G27">
        <v>1</v>
      </c>
      <c r="H27">
        <v>600</v>
      </c>
      <c r="I27">
        <v>600</v>
      </c>
      <c r="J27" t="s">
        <v>98</v>
      </c>
    </row>
    <row r="28" spans="1:10" x14ac:dyDescent="0.3">
      <c r="A28" t="s">
        <v>99</v>
      </c>
      <c r="B28" t="s">
        <v>18</v>
      </c>
      <c r="C28" t="s">
        <v>31</v>
      </c>
      <c r="D28" t="s">
        <v>17</v>
      </c>
      <c r="E28" t="s">
        <v>79</v>
      </c>
      <c r="F28" s="1">
        <v>46102</v>
      </c>
      <c r="G28">
        <v>8</v>
      </c>
      <c r="H28">
        <v>500</v>
      </c>
      <c r="I28">
        <v>4000</v>
      </c>
      <c r="J28" t="s">
        <v>100</v>
      </c>
    </row>
    <row r="29" spans="1:10" x14ac:dyDescent="0.3">
      <c r="A29" t="s">
        <v>101</v>
      </c>
      <c r="B29" t="s">
        <v>43</v>
      </c>
      <c r="C29" t="s">
        <v>9</v>
      </c>
      <c r="D29" t="s">
        <v>17</v>
      </c>
      <c r="E29" t="s">
        <v>33</v>
      </c>
      <c r="F29" s="1">
        <v>46155</v>
      </c>
      <c r="G29">
        <v>1</v>
      </c>
      <c r="H29">
        <v>1100</v>
      </c>
      <c r="I29">
        <v>1100</v>
      </c>
      <c r="J29" t="s">
        <v>102</v>
      </c>
    </row>
    <row r="30" spans="1:10" x14ac:dyDescent="0.3">
      <c r="A30" t="s">
        <v>103</v>
      </c>
      <c r="B30" t="s">
        <v>18</v>
      </c>
      <c r="C30" t="s">
        <v>9</v>
      </c>
      <c r="D30" t="s">
        <v>14</v>
      </c>
      <c r="E30" t="s">
        <v>15</v>
      </c>
      <c r="F30" s="1">
        <v>46057</v>
      </c>
      <c r="G30">
        <v>2</v>
      </c>
      <c r="H30">
        <v>600</v>
      </c>
      <c r="I30">
        <v>1200</v>
      </c>
      <c r="J30" t="s">
        <v>104</v>
      </c>
    </row>
    <row r="31" spans="1:10" x14ac:dyDescent="0.3">
      <c r="A31" t="s">
        <v>105</v>
      </c>
      <c r="B31" t="s">
        <v>18</v>
      </c>
      <c r="C31" t="s">
        <v>31</v>
      </c>
      <c r="E31" t="s">
        <v>23</v>
      </c>
      <c r="F31" s="1">
        <v>46107</v>
      </c>
      <c r="G31">
        <v>6</v>
      </c>
      <c r="H31">
        <v>1500</v>
      </c>
      <c r="I31">
        <v>9000</v>
      </c>
      <c r="J31" t="s">
        <v>106</v>
      </c>
    </row>
    <row r="32" spans="1:10" x14ac:dyDescent="0.3">
      <c r="A32" t="s">
        <v>107</v>
      </c>
      <c r="B32" t="s">
        <v>56</v>
      </c>
      <c r="C32" t="s">
        <v>12</v>
      </c>
      <c r="D32" t="s">
        <v>14</v>
      </c>
      <c r="E32" t="s">
        <v>32</v>
      </c>
      <c r="F32" s="1">
        <v>46029</v>
      </c>
      <c r="G32">
        <v>8</v>
      </c>
      <c r="H32">
        <v>800</v>
      </c>
      <c r="I32">
        <v>6400</v>
      </c>
      <c r="J32" t="s">
        <v>108</v>
      </c>
    </row>
    <row r="33" spans="1:10" x14ac:dyDescent="0.3">
      <c r="A33" t="s">
        <v>109</v>
      </c>
      <c r="B33" t="s">
        <v>18</v>
      </c>
      <c r="C33" t="s">
        <v>44</v>
      </c>
      <c r="D33" t="s">
        <v>10</v>
      </c>
      <c r="E33" t="s">
        <v>30</v>
      </c>
      <c r="F33" s="1">
        <v>46044</v>
      </c>
      <c r="G33">
        <v>5</v>
      </c>
      <c r="H33">
        <v>1200</v>
      </c>
      <c r="I33">
        <v>6000</v>
      </c>
      <c r="J33" t="s">
        <v>110</v>
      </c>
    </row>
    <row r="34" spans="1:10" x14ac:dyDescent="0.3">
      <c r="A34" t="s">
        <v>111</v>
      </c>
      <c r="B34" t="s">
        <v>24</v>
      </c>
      <c r="C34" t="s">
        <v>13</v>
      </c>
      <c r="D34" t="s">
        <v>14</v>
      </c>
      <c r="E34" t="s">
        <v>97</v>
      </c>
      <c r="F34" s="1">
        <v>46029</v>
      </c>
      <c r="G34">
        <v>5</v>
      </c>
      <c r="H34">
        <v>1200</v>
      </c>
      <c r="I34">
        <v>6000</v>
      </c>
      <c r="J34" t="s">
        <v>112</v>
      </c>
    </row>
    <row r="35" spans="1:10" x14ac:dyDescent="0.3">
      <c r="A35" t="s">
        <v>113</v>
      </c>
      <c r="B35" t="s">
        <v>24</v>
      </c>
      <c r="C35" t="s">
        <v>13</v>
      </c>
      <c r="D35" t="s">
        <v>14</v>
      </c>
      <c r="E35" t="s">
        <v>32</v>
      </c>
      <c r="F35" s="1">
        <v>46066</v>
      </c>
      <c r="G35">
        <v>2</v>
      </c>
      <c r="H35">
        <v>400</v>
      </c>
      <c r="I35">
        <v>800</v>
      </c>
      <c r="J35" t="s">
        <v>114</v>
      </c>
    </row>
    <row r="36" spans="1:10" x14ac:dyDescent="0.3">
      <c r="A36" t="s">
        <v>115</v>
      </c>
      <c r="B36" t="s">
        <v>27</v>
      </c>
      <c r="C36" t="s">
        <v>9</v>
      </c>
      <c r="D36" t="s">
        <v>17</v>
      </c>
      <c r="F36" s="1">
        <v>46091</v>
      </c>
      <c r="G36">
        <v>5</v>
      </c>
      <c r="H36">
        <v>1100</v>
      </c>
      <c r="I36">
        <v>5500</v>
      </c>
      <c r="J36" t="s">
        <v>116</v>
      </c>
    </row>
    <row r="37" spans="1:10" x14ac:dyDescent="0.3">
      <c r="A37" t="s">
        <v>117</v>
      </c>
      <c r="B37" t="s">
        <v>43</v>
      </c>
      <c r="C37" t="s">
        <v>31</v>
      </c>
      <c r="D37" t="s">
        <v>17</v>
      </c>
      <c r="E37" t="s">
        <v>33</v>
      </c>
      <c r="F37" s="1">
        <v>46094</v>
      </c>
      <c r="G37">
        <v>1</v>
      </c>
      <c r="H37">
        <v>700</v>
      </c>
      <c r="I37">
        <v>700</v>
      </c>
      <c r="J37" t="s">
        <v>118</v>
      </c>
    </row>
    <row r="38" spans="1:10" x14ac:dyDescent="0.3">
      <c r="A38" t="s">
        <v>119</v>
      </c>
      <c r="B38" t="s">
        <v>27</v>
      </c>
      <c r="C38" t="s">
        <v>31</v>
      </c>
      <c r="D38" t="s">
        <v>20</v>
      </c>
      <c r="E38" t="s">
        <v>25</v>
      </c>
      <c r="F38" s="1">
        <v>46166</v>
      </c>
      <c r="G38">
        <v>2</v>
      </c>
      <c r="H38">
        <v>100</v>
      </c>
      <c r="I38">
        <v>200</v>
      </c>
      <c r="J38" t="s">
        <v>120</v>
      </c>
    </row>
    <row r="39" spans="1:10" x14ac:dyDescent="0.3">
      <c r="A39" t="s">
        <v>121</v>
      </c>
      <c r="B39" t="s">
        <v>35</v>
      </c>
      <c r="C39" t="s">
        <v>44</v>
      </c>
      <c r="D39" t="s">
        <v>20</v>
      </c>
      <c r="E39" t="s">
        <v>45</v>
      </c>
      <c r="F39" s="1">
        <v>46037</v>
      </c>
      <c r="G39">
        <v>1</v>
      </c>
      <c r="H39">
        <v>200</v>
      </c>
      <c r="I39">
        <v>200</v>
      </c>
      <c r="J39" t="s">
        <v>122</v>
      </c>
    </row>
    <row r="40" spans="1:10" x14ac:dyDescent="0.3">
      <c r="A40" t="s">
        <v>123</v>
      </c>
      <c r="B40" t="s">
        <v>43</v>
      </c>
      <c r="C40" t="s">
        <v>31</v>
      </c>
      <c r="D40" t="s">
        <v>10</v>
      </c>
      <c r="E40" t="s">
        <v>26</v>
      </c>
      <c r="F40" s="1">
        <v>46087</v>
      </c>
      <c r="G40">
        <v>7</v>
      </c>
      <c r="H40">
        <v>2500</v>
      </c>
      <c r="I40">
        <v>17500</v>
      </c>
      <c r="J40" t="s">
        <v>124</v>
      </c>
    </row>
    <row r="41" spans="1:10" x14ac:dyDescent="0.3">
      <c r="A41" t="s">
        <v>125</v>
      </c>
      <c r="B41" t="s">
        <v>43</v>
      </c>
      <c r="C41" t="s">
        <v>31</v>
      </c>
      <c r="D41" t="s">
        <v>10</v>
      </c>
      <c r="E41" t="s">
        <v>30</v>
      </c>
      <c r="F41" s="1">
        <v>46095</v>
      </c>
      <c r="H41">
        <v>2000</v>
      </c>
      <c r="I41">
        <v>12000</v>
      </c>
      <c r="J41" t="s">
        <v>126</v>
      </c>
    </row>
    <row r="42" spans="1:10" x14ac:dyDescent="0.3">
      <c r="A42" t="s">
        <v>127</v>
      </c>
      <c r="B42" t="s">
        <v>35</v>
      </c>
      <c r="C42" t="s">
        <v>31</v>
      </c>
      <c r="D42" t="s">
        <v>20</v>
      </c>
      <c r="E42" t="s">
        <v>25</v>
      </c>
      <c r="F42" s="1">
        <v>46144</v>
      </c>
      <c r="G42">
        <v>8</v>
      </c>
      <c r="H42">
        <v>150</v>
      </c>
      <c r="I42">
        <v>1200</v>
      </c>
      <c r="J42" t="s">
        <v>128</v>
      </c>
    </row>
    <row r="43" spans="1:10" x14ac:dyDescent="0.3">
      <c r="A43" t="s">
        <v>129</v>
      </c>
      <c r="B43" t="s">
        <v>22</v>
      </c>
      <c r="C43" t="s">
        <v>44</v>
      </c>
      <c r="D43" t="s">
        <v>14</v>
      </c>
      <c r="E43" t="s">
        <v>15</v>
      </c>
      <c r="F43" s="1">
        <v>46098</v>
      </c>
      <c r="G43">
        <v>4</v>
      </c>
      <c r="H43">
        <v>1000</v>
      </c>
      <c r="I43">
        <v>4000</v>
      </c>
      <c r="J43" t="s">
        <v>130</v>
      </c>
    </row>
    <row r="44" spans="1:10" x14ac:dyDescent="0.3">
      <c r="A44" t="s">
        <v>131</v>
      </c>
      <c r="B44" t="s">
        <v>43</v>
      </c>
      <c r="C44" t="s">
        <v>12</v>
      </c>
      <c r="D44" t="s">
        <v>17</v>
      </c>
      <c r="E44" t="s">
        <v>79</v>
      </c>
      <c r="F44" s="1">
        <v>46093</v>
      </c>
      <c r="G44">
        <v>6</v>
      </c>
      <c r="H44">
        <v>250</v>
      </c>
      <c r="I44">
        <v>1500</v>
      </c>
      <c r="J44" t="s">
        <v>132</v>
      </c>
    </row>
    <row r="45" spans="1:10" x14ac:dyDescent="0.3">
      <c r="A45" t="s">
        <v>133</v>
      </c>
      <c r="B45" t="s">
        <v>22</v>
      </c>
      <c r="C45" t="s">
        <v>44</v>
      </c>
      <c r="D45" t="s">
        <v>10</v>
      </c>
      <c r="E45" t="s">
        <v>11</v>
      </c>
      <c r="F45" s="1">
        <v>46138</v>
      </c>
      <c r="G45">
        <v>7</v>
      </c>
      <c r="H45">
        <v>1500</v>
      </c>
      <c r="I45">
        <v>10500</v>
      </c>
      <c r="J45" t="s">
        <v>134</v>
      </c>
    </row>
    <row r="46" spans="1:10" x14ac:dyDescent="0.3">
      <c r="A46" t="s">
        <v>135</v>
      </c>
      <c r="B46" t="s">
        <v>18</v>
      </c>
      <c r="C46" t="s">
        <v>13</v>
      </c>
      <c r="D46" t="s">
        <v>17</v>
      </c>
      <c r="E46" t="s">
        <v>33</v>
      </c>
      <c r="F46" s="1">
        <v>46164</v>
      </c>
      <c r="G46">
        <v>7</v>
      </c>
      <c r="I46">
        <v>1750</v>
      </c>
      <c r="J46" t="s">
        <v>136</v>
      </c>
    </row>
    <row r="47" spans="1:10" x14ac:dyDescent="0.3">
      <c r="A47" t="s">
        <v>137</v>
      </c>
      <c r="B47" t="s">
        <v>24</v>
      </c>
      <c r="C47" t="s">
        <v>44</v>
      </c>
      <c r="D47" t="s">
        <v>10</v>
      </c>
      <c r="E47" t="s">
        <v>26</v>
      </c>
      <c r="F47" s="1">
        <v>46156</v>
      </c>
      <c r="G47">
        <v>6</v>
      </c>
      <c r="H47">
        <v>800</v>
      </c>
      <c r="I47">
        <v>4800</v>
      </c>
      <c r="J47" t="s">
        <v>138</v>
      </c>
    </row>
    <row r="48" spans="1:10" x14ac:dyDescent="0.3">
      <c r="A48" t="s">
        <v>139</v>
      </c>
      <c r="B48" t="s">
        <v>16</v>
      </c>
      <c r="C48" t="s">
        <v>31</v>
      </c>
      <c r="D48" t="s">
        <v>17</v>
      </c>
      <c r="E48" t="s">
        <v>79</v>
      </c>
      <c r="F48" s="1">
        <v>46076</v>
      </c>
      <c r="G48">
        <v>5</v>
      </c>
      <c r="H48">
        <v>1100</v>
      </c>
      <c r="I48">
        <v>5500</v>
      </c>
      <c r="J48" t="s">
        <v>140</v>
      </c>
    </row>
    <row r="49" spans="1:10" x14ac:dyDescent="0.3">
      <c r="A49" t="s">
        <v>141</v>
      </c>
      <c r="B49" t="s">
        <v>24</v>
      </c>
      <c r="C49" t="s">
        <v>12</v>
      </c>
      <c r="D49" t="s">
        <v>14</v>
      </c>
      <c r="E49" t="s">
        <v>32</v>
      </c>
      <c r="F49" s="1">
        <v>46104</v>
      </c>
      <c r="G49">
        <v>7</v>
      </c>
      <c r="H49">
        <v>1200</v>
      </c>
      <c r="I49">
        <v>8400</v>
      </c>
      <c r="J49" t="s">
        <v>142</v>
      </c>
    </row>
    <row r="50" spans="1:10" x14ac:dyDescent="0.3">
      <c r="A50" t="s">
        <v>143</v>
      </c>
      <c r="B50" t="s">
        <v>56</v>
      </c>
      <c r="C50" t="s">
        <v>31</v>
      </c>
      <c r="D50" t="s">
        <v>17</v>
      </c>
      <c r="E50" t="s">
        <v>79</v>
      </c>
      <c r="F50" s="1">
        <v>46157</v>
      </c>
      <c r="G50">
        <v>8</v>
      </c>
      <c r="H50">
        <v>900</v>
      </c>
      <c r="I50">
        <v>7200</v>
      </c>
      <c r="J50" t="s">
        <v>144</v>
      </c>
    </row>
    <row r="51" spans="1:10" x14ac:dyDescent="0.3">
      <c r="A51" t="s">
        <v>145</v>
      </c>
      <c r="B51" t="s">
        <v>18</v>
      </c>
      <c r="C51" t="s">
        <v>31</v>
      </c>
      <c r="D51" t="s">
        <v>10</v>
      </c>
      <c r="E51" t="s">
        <v>26</v>
      </c>
      <c r="F51" s="1">
        <v>46106</v>
      </c>
      <c r="G51">
        <v>6</v>
      </c>
      <c r="H51">
        <v>800</v>
      </c>
      <c r="I51">
        <v>4800</v>
      </c>
      <c r="J51" t="s">
        <v>224</v>
      </c>
    </row>
    <row r="52" spans="1:10" x14ac:dyDescent="0.3">
      <c r="A52" t="s">
        <v>146</v>
      </c>
      <c r="B52" t="s">
        <v>56</v>
      </c>
      <c r="C52" t="s">
        <v>13</v>
      </c>
      <c r="D52" t="s">
        <v>10</v>
      </c>
      <c r="E52" t="s">
        <v>11</v>
      </c>
      <c r="F52" s="1">
        <v>46045</v>
      </c>
      <c r="G52">
        <v>4</v>
      </c>
      <c r="H52">
        <v>2000</v>
      </c>
      <c r="I52">
        <v>8000</v>
      </c>
      <c r="J52" t="s">
        <v>147</v>
      </c>
    </row>
    <row r="53" spans="1:10" x14ac:dyDescent="0.3">
      <c r="A53" t="s">
        <v>148</v>
      </c>
      <c r="B53" t="s">
        <v>22</v>
      </c>
      <c r="C53" t="s">
        <v>31</v>
      </c>
      <c r="D53" t="s">
        <v>20</v>
      </c>
      <c r="E53" t="s">
        <v>34</v>
      </c>
      <c r="F53" s="1">
        <v>46028</v>
      </c>
      <c r="G53">
        <v>7</v>
      </c>
      <c r="H53">
        <v>150</v>
      </c>
      <c r="I53">
        <v>1050</v>
      </c>
      <c r="J53" t="s">
        <v>149</v>
      </c>
    </row>
    <row r="54" spans="1:10" x14ac:dyDescent="0.3">
      <c r="A54" t="s">
        <v>150</v>
      </c>
      <c r="B54" t="s">
        <v>56</v>
      </c>
      <c r="C54" t="s">
        <v>31</v>
      </c>
      <c r="D54" t="s">
        <v>14</v>
      </c>
      <c r="E54" t="s">
        <v>97</v>
      </c>
      <c r="F54" s="1">
        <v>46058</v>
      </c>
      <c r="G54">
        <v>1</v>
      </c>
      <c r="H54">
        <v>1200</v>
      </c>
      <c r="I54">
        <v>1200</v>
      </c>
      <c r="J54" t="s">
        <v>151</v>
      </c>
    </row>
    <row r="55" spans="1:10" x14ac:dyDescent="0.3">
      <c r="A55" t="s">
        <v>152</v>
      </c>
      <c r="B55" t="s">
        <v>56</v>
      </c>
      <c r="C55" t="s">
        <v>9</v>
      </c>
      <c r="D55" t="s">
        <v>17</v>
      </c>
      <c r="E55" t="s">
        <v>79</v>
      </c>
      <c r="F55" s="1">
        <v>46067</v>
      </c>
      <c r="G55">
        <v>7</v>
      </c>
      <c r="H55">
        <v>1100</v>
      </c>
      <c r="I55">
        <v>7700</v>
      </c>
      <c r="J55" t="s">
        <v>153</v>
      </c>
    </row>
    <row r="56" spans="1:10" x14ac:dyDescent="0.3">
      <c r="A56" t="s">
        <v>154</v>
      </c>
      <c r="B56" t="s">
        <v>22</v>
      </c>
      <c r="C56" t="s">
        <v>44</v>
      </c>
      <c r="D56" t="s">
        <v>14</v>
      </c>
      <c r="E56" t="s">
        <v>32</v>
      </c>
      <c r="F56" s="1">
        <v>46139</v>
      </c>
      <c r="G56">
        <v>8</v>
      </c>
      <c r="H56">
        <v>600</v>
      </c>
      <c r="I56">
        <v>4800</v>
      </c>
      <c r="J56" t="s">
        <v>155</v>
      </c>
    </row>
    <row r="57" spans="1:10" x14ac:dyDescent="0.3">
      <c r="A57" t="s">
        <v>156</v>
      </c>
      <c r="B57" t="s">
        <v>43</v>
      </c>
      <c r="C57" t="s">
        <v>13</v>
      </c>
      <c r="D57" t="s">
        <v>14</v>
      </c>
      <c r="E57" t="s">
        <v>32</v>
      </c>
      <c r="F57" s="1">
        <v>46047</v>
      </c>
      <c r="G57">
        <v>6</v>
      </c>
      <c r="H57">
        <v>800</v>
      </c>
      <c r="I57">
        <v>4800</v>
      </c>
      <c r="J57" t="s">
        <v>157</v>
      </c>
    </row>
    <row r="58" spans="1:10" x14ac:dyDescent="0.3">
      <c r="A58" t="s">
        <v>158</v>
      </c>
      <c r="B58" t="s">
        <v>35</v>
      </c>
      <c r="C58" t="s">
        <v>9</v>
      </c>
      <c r="D58" t="s">
        <v>20</v>
      </c>
      <c r="E58" t="s">
        <v>45</v>
      </c>
      <c r="F58" s="1">
        <v>46131</v>
      </c>
      <c r="G58">
        <v>4</v>
      </c>
      <c r="H58">
        <v>100</v>
      </c>
      <c r="I58">
        <v>400</v>
      </c>
      <c r="J58" t="s">
        <v>159</v>
      </c>
    </row>
    <row r="59" spans="1:10" x14ac:dyDescent="0.3">
      <c r="A59" t="s">
        <v>160</v>
      </c>
      <c r="B59" t="s">
        <v>27</v>
      </c>
      <c r="C59" t="s">
        <v>9</v>
      </c>
      <c r="D59" t="s">
        <v>20</v>
      </c>
      <c r="E59" t="s">
        <v>25</v>
      </c>
      <c r="F59" s="1">
        <v>46176</v>
      </c>
      <c r="G59">
        <v>4</v>
      </c>
      <c r="H59">
        <v>250</v>
      </c>
      <c r="I59">
        <v>1000</v>
      </c>
      <c r="J59" t="s">
        <v>161</v>
      </c>
    </row>
    <row r="60" spans="1:10" x14ac:dyDescent="0.3">
      <c r="A60" t="s">
        <v>162</v>
      </c>
      <c r="B60" t="s">
        <v>18</v>
      </c>
      <c r="C60" t="s">
        <v>9</v>
      </c>
      <c r="D60" t="s">
        <v>20</v>
      </c>
      <c r="E60" t="s">
        <v>25</v>
      </c>
      <c r="F60" s="1">
        <v>46134</v>
      </c>
      <c r="G60">
        <v>6</v>
      </c>
      <c r="H60">
        <v>200</v>
      </c>
      <c r="I60">
        <v>1200</v>
      </c>
      <c r="J60" t="s">
        <v>163</v>
      </c>
    </row>
    <row r="61" spans="1:10" x14ac:dyDescent="0.3">
      <c r="A61" t="s">
        <v>164</v>
      </c>
      <c r="B61" t="s">
        <v>16</v>
      </c>
      <c r="C61" t="s">
        <v>9</v>
      </c>
      <c r="D61" t="s">
        <v>17</v>
      </c>
      <c r="E61" t="s">
        <v>79</v>
      </c>
      <c r="F61" s="1">
        <v>46113</v>
      </c>
      <c r="G61">
        <v>8</v>
      </c>
      <c r="H61">
        <v>250</v>
      </c>
      <c r="I61">
        <v>2000</v>
      </c>
      <c r="J61" t="s">
        <v>165</v>
      </c>
    </row>
    <row r="62" spans="1:10" x14ac:dyDescent="0.3">
      <c r="A62" t="s">
        <v>42</v>
      </c>
      <c r="B62" t="s">
        <v>43</v>
      </c>
      <c r="C62" t="s">
        <v>44</v>
      </c>
      <c r="D62" t="s">
        <v>20</v>
      </c>
      <c r="E62" t="s">
        <v>45</v>
      </c>
      <c r="F62" s="1">
        <v>46028</v>
      </c>
      <c r="G62">
        <v>8</v>
      </c>
      <c r="H62">
        <v>300</v>
      </c>
      <c r="I62">
        <v>2400</v>
      </c>
      <c r="J62" t="s">
        <v>46</v>
      </c>
    </row>
    <row r="63" spans="1:10" x14ac:dyDescent="0.3">
      <c r="A63" t="s">
        <v>78</v>
      </c>
      <c r="B63" t="s">
        <v>16</v>
      </c>
      <c r="C63" t="s">
        <v>31</v>
      </c>
      <c r="D63" t="s">
        <v>17</v>
      </c>
      <c r="E63" t="s">
        <v>79</v>
      </c>
      <c r="F63" s="1">
        <v>46106</v>
      </c>
      <c r="G63">
        <v>4</v>
      </c>
      <c r="H63">
        <v>1100</v>
      </c>
      <c r="I63">
        <v>4400</v>
      </c>
      <c r="J63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ABCC3-A404-4432-9ACD-AC818F4080D1}">
  <dimension ref="A1:P61"/>
  <sheetViews>
    <sheetView tabSelected="1" zoomScale="103" workbookViewId="0">
      <selection activeCell="H10" sqref="H10"/>
    </sheetView>
  </sheetViews>
  <sheetFormatPr defaultRowHeight="14.4" x14ac:dyDescent="0.3"/>
  <cols>
    <col min="1" max="1" width="10.5546875" bestFit="1" customWidth="1"/>
    <col min="2" max="2" width="15" bestFit="1" customWidth="1"/>
    <col min="3" max="3" width="9.44140625" bestFit="1" customWidth="1"/>
    <col min="4" max="4" width="10.21875" bestFit="1" customWidth="1"/>
    <col min="5" max="5" width="11.44140625" bestFit="1" customWidth="1"/>
    <col min="6" max="6" width="10.44140625" style="2" bestFit="1" customWidth="1"/>
    <col min="7" max="7" width="8.109375" bestFit="1" customWidth="1"/>
    <col min="8" max="8" width="9.33203125" bestFit="1" customWidth="1"/>
    <col min="9" max="9" width="10.33203125" bestFit="1" customWidth="1"/>
    <col min="10" max="10" width="14.77734375" bestFit="1" customWidth="1"/>
    <col min="11" max="11" width="9.6640625" bestFit="1" customWidth="1"/>
    <col min="12" max="12" width="7.6640625" bestFit="1" customWidth="1"/>
    <col min="15" max="15" width="17.5546875" bestFit="1" customWidth="1"/>
    <col min="16" max="16" width="12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37</v>
      </c>
      <c r="K1" t="s">
        <v>222</v>
      </c>
      <c r="L1" t="s">
        <v>223</v>
      </c>
    </row>
    <row r="2" spans="1:16" x14ac:dyDescent="0.3">
      <c r="A2" t="s">
        <v>38</v>
      </c>
      <c r="B2" t="s">
        <v>22</v>
      </c>
      <c r="C2" t="s">
        <v>31</v>
      </c>
      <c r="D2" t="s">
        <v>10</v>
      </c>
      <c r="E2" t="s">
        <v>11</v>
      </c>
      <c r="F2" s="2">
        <v>46062</v>
      </c>
      <c r="G2">
        <v>5</v>
      </c>
      <c r="H2">
        <v>1200</v>
      </c>
      <c r="I2">
        <v>6000</v>
      </c>
      <c r="J2" t="s">
        <v>166</v>
      </c>
      <c r="K2" t="s">
        <v>167</v>
      </c>
      <c r="L2" t="s">
        <v>168</v>
      </c>
    </row>
    <row r="3" spans="1:16" x14ac:dyDescent="0.3">
      <c r="A3" t="s">
        <v>40</v>
      </c>
      <c r="B3" t="s">
        <v>27</v>
      </c>
      <c r="C3" t="s">
        <v>31</v>
      </c>
      <c r="D3" t="s">
        <v>20</v>
      </c>
      <c r="E3" t="s">
        <v>25</v>
      </c>
      <c r="F3" s="2">
        <v>46086</v>
      </c>
      <c r="G3">
        <v>1</v>
      </c>
      <c r="H3">
        <v>100</v>
      </c>
      <c r="I3">
        <v>100</v>
      </c>
      <c r="J3" t="s">
        <v>169</v>
      </c>
      <c r="K3" t="s">
        <v>167</v>
      </c>
      <c r="L3" t="s">
        <v>168</v>
      </c>
      <c r="O3" s="9" t="s">
        <v>235</v>
      </c>
      <c r="P3" s="7"/>
    </row>
    <row r="4" spans="1:16" x14ac:dyDescent="0.3">
      <c r="A4" t="s">
        <v>42</v>
      </c>
      <c r="B4" t="s">
        <v>43</v>
      </c>
      <c r="C4" t="s">
        <v>36</v>
      </c>
      <c r="D4" t="s">
        <v>20</v>
      </c>
      <c r="E4" t="s">
        <v>45</v>
      </c>
      <c r="F4" s="2">
        <v>46028</v>
      </c>
      <c r="G4">
        <v>8</v>
      </c>
      <c r="H4">
        <v>300</v>
      </c>
      <c r="I4">
        <v>2400</v>
      </c>
      <c r="J4" t="s">
        <v>170</v>
      </c>
      <c r="K4" t="s">
        <v>167</v>
      </c>
      <c r="L4" t="s">
        <v>168</v>
      </c>
      <c r="O4" s="8" t="s">
        <v>230</v>
      </c>
      <c r="P4" s="8">
        <f>SUM(I2:I61)</f>
        <v>216700</v>
      </c>
    </row>
    <row r="5" spans="1:16" x14ac:dyDescent="0.3">
      <c r="A5" t="s">
        <v>47</v>
      </c>
      <c r="B5" t="s">
        <v>22</v>
      </c>
      <c r="C5" t="s">
        <v>44</v>
      </c>
      <c r="D5" t="s">
        <v>17</v>
      </c>
      <c r="E5" t="s">
        <v>21</v>
      </c>
      <c r="F5" s="2">
        <v>46053</v>
      </c>
      <c r="G5">
        <v>3</v>
      </c>
      <c r="H5">
        <v>500</v>
      </c>
      <c r="I5">
        <v>1500</v>
      </c>
      <c r="J5" t="s">
        <v>171</v>
      </c>
      <c r="K5" t="s">
        <v>167</v>
      </c>
      <c r="L5" t="s">
        <v>168</v>
      </c>
      <c r="O5" s="8" t="s">
        <v>231</v>
      </c>
      <c r="P5" s="8">
        <f>SUM(G2:G61)</f>
        <v>264</v>
      </c>
    </row>
    <row r="6" spans="1:16" x14ac:dyDescent="0.3">
      <c r="A6" t="s">
        <v>49</v>
      </c>
      <c r="B6" t="s">
        <v>22</v>
      </c>
      <c r="C6" t="s">
        <v>12</v>
      </c>
      <c r="D6" t="s">
        <v>17</v>
      </c>
      <c r="E6" t="s">
        <v>21</v>
      </c>
      <c r="F6" s="2">
        <v>46164</v>
      </c>
      <c r="G6">
        <v>5</v>
      </c>
      <c r="H6">
        <v>250</v>
      </c>
      <c r="I6">
        <v>1250</v>
      </c>
      <c r="J6" t="s">
        <v>171</v>
      </c>
      <c r="K6" t="s">
        <v>167</v>
      </c>
      <c r="L6" t="s">
        <v>168</v>
      </c>
      <c r="O6" s="8" t="s">
        <v>232</v>
      </c>
      <c r="P6" s="8">
        <f>AVERAGE(H2:H61)</f>
        <v>804.23728813559319</v>
      </c>
    </row>
    <row r="7" spans="1:16" x14ac:dyDescent="0.3">
      <c r="A7" t="s">
        <v>51</v>
      </c>
      <c r="B7" t="s">
        <v>24</v>
      </c>
      <c r="C7" t="s">
        <v>12</v>
      </c>
      <c r="D7" t="s">
        <v>17</v>
      </c>
      <c r="E7" t="s">
        <v>21</v>
      </c>
      <c r="F7" s="2">
        <v>46085</v>
      </c>
      <c r="G7">
        <v>4</v>
      </c>
      <c r="H7">
        <v>250</v>
      </c>
      <c r="I7">
        <v>1000</v>
      </c>
      <c r="J7" t="s">
        <v>172</v>
      </c>
      <c r="K7" t="s">
        <v>167</v>
      </c>
      <c r="L7" t="s">
        <v>168</v>
      </c>
      <c r="O7" s="8" t="s">
        <v>233</v>
      </c>
      <c r="P7" s="8">
        <f>COUNTA(A2:A61)</f>
        <v>60</v>
      </c>
    </row>
    <row r="8" spans="1:16" x14ac:dyDescent="0.3">
      <c r="A8" t="s">
        <v>53</v>
      </c>
      <c r="B8" t="s">
        <v>35</v>
      </c>
      <c r="C8" t="s">
        <v>44</v>
      </c>
      <c r="D8" t="s">
        <v>10</v>
      </c>
      <c r="E8" t="s">
        <v>23</v>
      </c>
      <c r="F8" s="2">
        <v>46068</v>
      </c>
      <c r="G8">
        <v>5</v>
      </c>
      <c r="H8">
        <v>2000</v>
      </c>
      <c r="I8">
        <v>10000</v>
      </c>
      <c r="J8" t="s">
        <v>173</v>
      </c>
      <c r="K8" t="s">
        <v>167</v>
      </c>
      <c r="L8" t="s">
        <v>168</v>
      </c>
      <c r="O8" s="8" t="s">
        <v>234</v>
      </c>
      <c r="P8" s="8">
        <f>MAX(H2:H61)</f>
        <v>2500</v>
      </c>
    </row>
    <row r="9" spans="1:16" x14ac:dyDescent="0.3">
      <c r="A9" t="s">
        <v>55</v>
      </c>
      <c r="B9" t="s">
        <v>56</v>
      </c>
      <c r="C9" t="s">
        <v>31</v>
      </c>
      <c r="D9" t="s">
        <v>17</v>
      </c>
      <c r="E9" t="s">
        <v>33</v>
      </c>
      <c r="F9" s="2">
        <v>46068</v>
      </c>
      <c r="G9">
        <v>3</v>
      </c>
      <c r="H9">
        <v>1100</v>
      </c>
      <c r="I9">
        <v>3300</v>
      </c>
      <c r="J9" t="s">
        <v>174</v>
      </c>
      <c r="K9" t="s">
        <v>167</v>
      </c>
      <c r="L9" t="s">
        <v>168</v>
      </c>
    </row>
    <row r="10" spans="1:16" x14ac:dyDescent="0.3">
      <c r="A10" t="s">
        <v>58</v>
      </c>
      <c r="B10" t="s">
        <v>16</v>
      </c>
      <c r="C10" t="s">
        <v>12</v>
      </c>
      <c r="D10" t="s">
        <v>14</v>
      </c>
      <c r="E10" t="s">
        <v>32</v>
      </c>
      <c r="F10" s="2">
        <v>46107</v>
      </c>
      <c r="G10">
        <v>1</v>
      </c>
      <c r="H10">
        <v>600</v>
      </c>
      <c r="I10">
        <v>600</v>
      </c>
      <c r="J10" t="s">
        <v>175</v>
      </c>
      <c r="K10" t="s">
        <v>167</v>
      </c>
      <c r="L10" t="s">
        <v>168</v>
      </c>
    </row>
    <row r="11" spans="1:16" x14ac:dyDescent="0.3">
      <c r="A11" t="s">
        <v>60</v>
      </c>
      <c r="B11" t="s">
        <v>43</v>
      </c>
      <c r="C11" t="s">
        <v>9</v>
      </c>
      <c r="D11" t="s">
        <v>10</v>
      </c>
      <c r="E11" t="s">
        <v>32</v>
      </c>
      <c r="F11" s="2">
        <v>46144</v>
      </c>
      <c r="G11">
        <v>4</v>
      </c>
      <c r="H11">
        <v>1000</v>
      </c>
      <c r="I11">
        <v>4000</v>
      </c>
      <c r="J11" t="s">
        <v>176</v>
      </c>
      <c r="K11" t="s">
        <v>167</v>
      </c>
      <c r="L11" t="s">
        <v>168</v>
      </c>
    </row>
    <row r="12" spans="1:16" x14ac:dyDescent="0.3">
      <c r="A12" t="s">
        <v>62</v>
      </c>
      <c r="B12" t="s">
        <v>18</v>
      </c>
      <c r="C12" t="s">
        <v>9</v>
      </c>
      <c r="D12" t="s">
        <v>14</v>
      </c>
      <c r="E12" t="s">
        <v>32</v>
      </c>
      <c r="F12" s="2">
        <v>46119</v>
      </c>
      <c r="G12">
        <v>7</v>
      </c>
      <c r="H12">
        <v>1200</v>
      </c>
      <c r="I12">
        <v>8400</v>
      </c>
      <c r="J12" t="s">
        <v>177</v>
      </c>
      <c r="K12" t="s">
        <v>167</v>
      </c>
      <c r="L12" t="s">
        <v>168</v>
      </c>
    </row>
    <row r="13" spans="1:16" x14ac:dyDescent="0.3">
      <c r="A13" t="s">
        <v>64</v>
      </c>
      <c r="B13" t="s">
        <v>22</v>
      </c>
      <c r="C13" t="s">
        <v>31</v>
      </c>
      <c r="D13" t="s">
        <v>10</v>
      </c>
      <c r="E13" t="s">
        <v>11</v>
      </c>
      <c r="F13" s="2">
        <v>46135</v>
      </c>
      <c r="G13">
        <v>2</v>
      </c>
      <c r="H13">
        <v>1200</v>
      </c>
      <c r="I13">
        <v>2400</v>
      </c>
      <c r="J13" t="s">
        <v>178</v>
      </c>
      <c r="K13" t="s">
        <v>167</v>
      </c>
      <c r="L13" t="s">
        <v>168</v>
      </c>
    </row>
    <row r="14" spans="1:16" x14ac:dyDescent="0.3">
      <c r="A14" t="s">
        <v>66</v>
      </c>
      <c r="B14" t="s">
        <v>35</v>
      </c>
      <c r="C14" t="s">
        <v>13</v>
      </c>
      <c r="D14" t="s">
        <v>20</v>
      </c>
      <c r="E14" t="s">
        <v>28</v>
      </c>
      <c r="F14" s="2">
        <v>46095</v>
      </c>
      <c r="G14">
        <v>1</v>
      </c>
      <c r="H14">
        <v>100</v>
      </c>
      <c r="I14">
        <v>100</v>
      </c>
      <c r="J14" t="s">
        <v>179</v>
      </c>
      <c r="K14" t="s">
        <v>167</v>
      </c>
      <c r="L14" t="s">
        <v>168</v>
      </c>
    </row>
    <row r="15" spans="1:16" x14ac:dyDescent="0.3">
      <c r="A15" t="s">
        <v>68</v>
      </c>
      <c r="B15" t="s">
        <v>43</v>
      </c>
      <c r="C15" t="s">
        <v>44</v>
      </c>
      <c r="D15" t="s">
        <v>20</v>
      </c>
      <c r="E15" t="s">
        <v>45</v>
      </c>
      <c r="F15" s="2">
        <v>46155</v>
      </c>
      <c r="G15">
        <v>8</v>
      </c>
      <c r="H15">
        <v>100</v>
      </c>
      <c r="I15">
        <v>800</v>
      </c>
      <c r="J15" t="s">
        <v>180</v>
      </c>
      <c r="K15" t="s">
        <v>167</v>
      </c>
      <c r="L15" t="s">
        <v>168</v>
      </c>
    </row>
    <row r="16" spans="1:16" x14ac:dyDescent="0.3">
      <c r="A16" t="s">
        <v>70</v>
      </c>
      <c r="B16" t="s">
        <v>27</v>
      </c>
      <c r="C16" t="s">
        <v>31</v>
      </c>
      <c r="D16" t="s">
        <v>17</v>
      </c>
      <c r="E16" t="s">
        <v>72</v>
      </c>
      <c r="F16" s="2">
        <v>46165</v>
      </c>
      <c r="G16">
        <v>3</v>
      </c>
      <c r="H16">
        <v>700</v>
      </c>
      <c r="I16">
        <v>2100</v>
      </c>
      <c r="J16" t="s">
        <v>181</v>
      </c>
      <c r="K16" t="s">
        <v>167</v>
      </c>
      <c r="L16" t="s">
        <v>168</v>
      </c>
    </row>
    <row r="17" spans="1:12" x14ac:dyDescent="0.3">
      <c r="A17" t="s">
        <v>74</v>
      </c>
      <c r="B17" t="s">
        <v>27</v>
      </c>
      <c r="C17" t="s">
        <v>44</v>
      </c>
      <c r="D17" t="s">
        <v>20</v>
      </c>
      <c r="E17" t="s">
        <v>25</v>
      </c>
      <c r="F17" s="2">
        <v>46088</v>
      </c>
      <c r="G17">
        <v>2</v>
      </c>
      <c r="H17">
        <v>200</v>
      </c>
      <c r="I17">
        <v>400</v>
      </c>
      <c r="J17" t="s">
        <v>182</v>
      </c>
      <c r="K17" t="s">
        <v>167</v>
      </c>
      <c r="L17" t="s">
        <v>168</v>
      </c>
    </row>
    <row r="18" spans="1:12" x14ac:dyDescent="0.3">
      <c r="A18" t="s">
        <v>76</v>
      </c>
      <c r="B18" t="s">
        <v>56</v>
      </c>
      <c r="C18" t="s">
        <v>31</v>
      </c>
      <c r="D18" t="s">
        <v>10</v>
      </c>
      <c r="E18" t="s">
        <v>23</v>
      </c>
      <c r="F18" s="2">
        <v>46059</v>
      </c>
      <c r="G18">
        <v>2</v>
      </c>
      <c r="H18">
        <v>2500</v>
      </c>
      <c r="I18">
        <v>5000</v>
      </c>
      <c r="J18" t="s">
        <v>183</v>
      </c>
      <c r="K18" t="s">
        <v>167</v>
      </c>
      <c r="L18" t="s">
        <v>168</v>
      </c>
    </row>
    <row r="19" spans="1:12" x14ac:dyDescent="0.3">
      <c r="A19" t="s">
        <v>78</v>
      </c>
      <c r="B19" t="s">
        <v>16</v>
      </c>
      <c r="C19" t="s">
        <v>31</v>
      </c>
      <c r="D19" t="s">
        <v>17</v>
      </c>
      <c r="E19" t="s">
        <v>79</v>
      </c>
      <c r="F19" s="2">
        <v>46106</v>
      </c>
      <c r="G19">
        <v>4</v>
      </c>
      <c r="H19">
        <v>1100</v>
      </c>
      <c r="I19">
        <v>4400</v>
      </c>
      <c r="J19" t="s">
        <v>184</v>
      </c>
      <c r="K19" t="s">
        <v>167</v>
      </c>
      <c r="L19" t="s">
        <v>168</v>
      </c>
    </row>
    <row r="20" spans="1:12" x14ac:dyDescent="0.3">
      <c r="A20" t="s">
        <v>81</v>
      </c>
      <c r="B20" t="s">
        <v>35</v>
      </c>
      <c r="C20" t="s">
        <v>31</v>
      </c>
      <c r="D20" t="s">
        <v>20</v>
      </c>
      <c r="E20" t="s">
        <v>34</v>
      </c>
      <c r="F20" s="2">
        <v>46043</v>
      </c>
      <c r="G20">
        <v>2</v>
      </c>
      <c r="H20">
        <v>150</v>
      </c>
      <c r="I20">
        <v>300</v>
      </c>
      <c r="J20" t="s">
        <v>185</v>
      </c>
      <c r="K20" t="s">
        <v>167</v>
      </c>
      <c r="L20" t="s">
        <v>168</v>
      </c>
    </row>
    <row r="21" spans="1:12" x14ac:dyDescent="0.3">
      <c r="A21" t="s">
        <v>83</v>
      </c>
      <c r="B21" t="s">
        <v>27</v>
      </c>
      <c r="C21" t="s">
        <v>31</v>
      </c>
      <c r="D21" t="s">
        <v>14</v>
      </c>
      <c r="E21" t="s">
        <v>15</v>
      </c>
      <c r="F21" s="2">
        <v>46096</v>
      </c>
      <c r="G21">
        <v>2</v>
      </c>
      <c r="H21">
        <v>400</v>
      </c>
      <c r="I21">
        <v>800</v>
      </c>
      <c r="J21" t="s">
        <v>186</v>
      </c>
      <c r="K21" t="s">
        <v>167</v>
      </c>
      <c r="L21" t="s">
        <v>168</v>
      </c>
    </row>
    <row r="22" spans="1:12" x14ac:dyDescent="0.3">
      <c r="A22" t="s">
        <v>86</v>
      </c>
      <c r="B22" t="s">
        <v>56</v>
      </c>
      <c r="C22" t="s">
        <v>13</v>
      </c>
      <c r="D22" t="s">
        <v>14</v>
      </c>
      <c r="E22" t="s">
        <v>32</v>
      </c>
      <c r="F22" s="2">
        <v>46060</v>
      </c>
      <c r="G22">
        <v>8</v>
      </c>
      <c r="H22">
        <v>600</v>
      </c>
      <c r="I22">
        <v>4800</v>
      </c>
      <c r="J22" t="s">
        <v>187</v>
      </c>
      <c r="K22" t="s">
        <v>167</v>
      </c>
      <c r="L22" t="s">
        <v>168</v>
      </c>
    </row>
    <row r="23" spans="1:12" x14ac:dyDescent="0.3">
      <c r="A23" t="s">
        <v>88</v>
      </c>
      <c r="B23" t="s">
        <v>16</v>
      </c>
      <c r="C23" t="s">
        <v>9</v>
      </c>
      <c r="D23" t="s">
        <v>20</v>
      </c>
      <c r="E23" t="s">
        <v>45</v>
      </c>
      <c r="F23" s="2">
        <v>46117</v>
      </c>
      <c r="G23">
        <v>2</v>
      </c>
      <c r="H23">
        <v>100</v>
      </c>
      <c r="I23">
        <v>200</v>
      </c>
      <c r="J23" t="s">
        <v>188</v>
      </c>
      <c r="K23" t="s">
        <v>167</v>
      </c>
      <c r="L23" t="s">
        <v>168</v>
      </c>
    </row>
    <row r="24" spans="1:12" x14ac:dyDescent="0.3">
      <c r="A24" t="s">
        <v>90</v>
      </c>
      <c r="B24" t="s">
        <v>18</v>
      </c>
      <c r="C24" t="s">
        <v>44</v>
      </c>
      <c r="D24" t="s">
        <v>10</v>
      </c>
      <c r="E24" t="s">
        <v>11</v>
      </c>
      <c r="F24" s="2">
        <v>46054</v>
      </c>
      <c r="G24">
        <v>1</v>
      </c>
      <c r="H24">
        <v>2000</v>
      </c>
      <c r="I24">
        <v>2000</v>
      </c>
      <c r="J24" t="s">
        <v>189</v>
      </c>
      <c r="K24" t="s">
        <v>167</v>
      </c>
      <c r="L24" t="s">
        <v>168</v>
      </c>
    </row>
    <row r="25" spans="1:12" x14ac:dyDescent="0.3">
      <c r="A25" t="s">
        <v>92</v>
      </c>
      <c r="B25" t="s">
        <v>18</v>
      </c>
      <c r="C25" t="s">
        <v>44</v>
      </c>
      <c r="D25" t="s">
        <v>20</v>
      </c>
      <c r="E25" t="s">
        <v>45</v>
      </c>
      <c r="F25" s="2">
        <v>46145</v>
      </c>
      <c r="G25">
        <v>7</v>
      </c>
      <c r="H25">
        <v>150</v>
      </c>
      <c r="I25">
        <v>1050</v>
      </c>
      <c r="J25" t="s">
        <v>190</v>
      </c>
      <c r="K25" t="s">
        <v>167</v>
      </c>
      <c r="L25" t="s">
        <v>168</v>
      </c>
    </row>
    <row r="26" spans="1:12" x14ac:dyDescent="0.3">
      <c r="A26" t="s">
        <v>94</v>
      </c>
      <c r="B26" t="s">
        <v>16</v>
      </c>
      <c r="C26" t="s">
        <v>36</v>
      </c>
      <c r="D26" t="s">
        <v>10</v>
      </c>
      <c r="E26" t="s">
        <v>11</v>
      </c>
      <c r="F26" s="2">
        <v>46069</v>
      </c>
      <c r="G26">
        <v>1</v>
      </c>
      <c r="H26">
        <v>800</v>
      </c>
      <c r="I26">
        <v>800</v>
      </c>
      <c r="J26" t="s">
        <v>191</v>
      </c>
      <c r="K26" t="s">
        <v>167</v>
      </c>
      <c r="L26" t="s">
        <v>168</v>
      </c>
    </row>
    <row r="27" spans="1:12" x14ac:dyDescent="0.3">
      <c r="A27" t="s">
        <v>96</v>
      </c>
      <c r="B27" t="s">
        <v>16</v>
      </c>
      <c r="C27" t="s">
        <v>9</v>
      </c>
      <c r="D27" t="s">
        <v>14</v>
      </c>
      <c r="E27" t="s">
        <v>97</v>
      </c>
      <c r="F27" s="2">
        <v>46027</v>
      </c>
      <c r="G27">
        <v>1</v>
      </c>
      <c r="H27">
        <v>600</v>
      </c>
      <c r="I27">
        <v>600</v>
      </c>
      <c r="J27" t="s">
        <v>192</v>
      </c>
      <c r="K27" t="s">
        <v>167</v>
      </c>
      <c r="L27" t="s">
        <v>168</v>
      </c>
    </row>
    <row r="28" spans="1:12" x14ac:dyDescent="0.3">
      <c r="A28" t="s">
        <v>99</v>
      </c>
      <c r="B28" t="s">
        <v>18</v>
      </c>
      <c r="C28" t="s">
        <v>31</v>
      </c>
      <c r="D28" t="s">
        <v>17</v>
      </c>
      <c r="E28" t="s">
        <v>79</v>
      </c>
      <c r="F28" s="2">
        <v>46102</v>
      </c>
      <c r="G28">
        <v>8</v>
      </c>
      <c r="H28">
        <v>500</v>
      </c>
      <c r="I28">
        <v>4000</v>
      </c>
      <c r="J28" t="s">
        <v>193</v>
      </c>
      <c r="K28" t="s">
        <v>167</v>
      </c>
      <c r="L28" t="s">
        <v>168</v>
      </c>
    </row>
    <row r="29" spans="1:12" x14ac:dyDescent="0.3">
      <c r="A29" t="s">
        <v>101</v>
      </c>
      <c r="B29" t="s">
        <v>43</v>
      </c>
      <c r="C29" t="s">
        <v>9</v>
      </c>
      <c r="D29" t="s">
        <v>17</v>
      </c>
      <c r="E29" t="s">
        <v>33</v>
      </c>
      <c r="F29" s="2">
        <v>46155</v>
      </c>
      <c r="G29">
        <v>1</v>
      </c>
      <c r="H29">
        <v>1100</v>
      </c>
      <c r="I29">
        <v>1100</v>
      </c>
      <c r="J29" t="s">
        <v>193</v>
      </c>
      <c r="K29" t="s">
        <v>167</v>
      </c>
      <c r="L29" t="s">
        <v>168</v>
      </c>
    </row>
    <row r="30" spans="1:12" x14ac:dyDescent="0.3">
      <c r="A30" t="s">
        <v>103</v>
      </c>
      <c r="B30" t="s">
        <v>18</v>
      </c>
      <c r="C30" t="s">
        <v>9</v>
      </c>
      <c r="D30" t="s">
        <v>14</v>
      </c>
      <c r="E30" t="s">
        <v>15</v>
      </c>
      <c r="F30" s="2">
        <v>46057</v>
      </c>
      <c r="G30">
        <v>2</v>
      </c>
      <c r="H30">
        <v>600</v>
      </c>
      <c r="I30">
        <v>1200</v>
      </c>
      <c r="J30" t="s">
        <v>194</v>
      </c>
      <c r="K30" t="s">
        <v>167</v>
      </c>
      <c r="L30" t="s">
        <v>168</v>
      </c>
    </row>
    <row r="31" spans="1:12" x14ac:dyDescent="0.3">
      <c r="A31" t="s">
        <v>105</v>
      </c>
      <c r="B31" t="s">
        <v>18</v>
      </c>
      <c r="C31" t="s">
        <v>31</v>
      </c>
      <c r="D31" t="s">
        <v>36</v>
      </c>
      <c r="E31" t="s">
        <v>23</v>
      </c>
      <c r="F31" s="2">
        <v>46107</v>
      </c>
      <c r="G31">
        <v>6</v>
      </c>
      <c r="H31">
        <v>1500</v>
      </c>
      <c r="I31">
        <v>9000</v>
      </c>
      <c r="J31" t="s">
        <v>192</v>
      </c>
      <c r="K31" t="s">
        <v>167</v>
      </c>
      <c r="L31" t="s">
        <v>168</v>
      </c>
    </row>
    <row r="32" spans="1:12" x14ac:dyDescent="0.3">
      <c r="A32" t="s">
        <v>107</v>
      </c>
      <c r="B32" t="s">
        <v>56</v>
      </c>
      <c r="C32" t="s">
        <v>12</v>
      </c>
      <c r="D32" t="s">
        <v>14</v>
      </c>
      <c r="E32" t="s">
        <v>32</v>
      </c>
      <c r="F32" s="2">
        <v>46029</v>
      </c>
      <c r="G32">
        <v>8</v>
      </c>
      <c r="H32">
        <v>800</v>
      </c>
      <c r="I32">
        <v>6400</v>
      </c>
      <c r="J32" t="s">
        <v>195</v>
      </c>
      <c r="K32" t="s">
        <v>167</v>
      </c>
      <c r="L32" t="s">
        <v>168</v>
      </c>
    </row>
    <row r="33" spans="1:12" x14ac:dyDescent="0.3">
      <c r="A33" t="s">
        <v>109</v>
      </c>
      <c r="B33" t="s">
        <v>18</v>
      </c>
      <c r="C33" t="s">
        <v>44</v>
      </c>
      <c r="D33" t="s">
        <v>10</v>
      </c>
      <c r="E33" t="s">
        <v>30</v>
      </c>
      <c r="F33" s="2">
        <v>46044</v>
      </c>
      <c r="G33">
        <v>5</v>
      </c>
      <c r="H33">
        <v>1200</v>
      </c>
      <c r="I33">
        <v>6000</v>
      </c>
      <c r="J33" t="s">
        <v>196</v>
      </c>
      <c r="K33" t="s">
        <v>167</v>
      </c>
      <c r="L33" t="s">
        <v>168</v>
      </c>
    </row>
    <row r="34" spans="1:12" x14ac:dyDescent="0.3">
      <c r="A34" t="s">
        <v>111</v>
      </c>
      <c r="B34" t="s">
        <v>24</v>
      </c>
      <c r="C34" t="s">
        <v>13</v>
      </c>
      <c r="D34" t="s">
        <v>14</v>
      </c>
      <c r="E34" t="s">
        <v>97</v>
      </c>
      <c r="F34" s="2">
        <v>46029</v>
      </c>
      <c r="G34">
        <v>5</v>
      </c>
      <c r="H34">
        <v>1200</v>
      </c>
      <c r="I34">
        <v>6000</v>
      </c>
      <c r="J34" t="s">
        <v>197</v>
      </c>
      <c r="K34" t="s">
        <v>167</v>
      </c>
      <c r="L34" t="s">
        <v>168</v>
      </c>
    </row>
    <row r="35" spans="1:12" x14ac:dyDescent="0.3">
      <c r="A35" t="s">
        <v>113</v>
      </c>
      <c r="B35" t="s">
        <v>24</v>
      </c>
      <c r="C35" t="s">
        <v>13</v>
      </c>
      <c r="D35" t="s">
        <v>14</v>
      </c>
      <c r="E35" t="s">
        <v>32</v>
      </c>
      <c r="F35" s="2">
        <v>46066</v>
      </c>
      <c r="G35">
        <v>2</v>
      </c>
      <c r="H35">
        <v>400</v>
      </c>
      <c r="I35">
        <v>800</v>
      </c>
      <c r="J35" t="s">
        <v>198</v>
      </c>
      <c r="K35" t="s">
        <v>167</v>
      </c>
      <c r="L35" t="s">
        <v>168</v>
      </c>
    </row>
    <row r="36" spans="1:12" x14ac:dyDescent="0.3">
      <c r="A36" t="s">
        <v>115</v>
      </c>
      <c r="B36" t="s">
        <v>27</v>
      </c>
      <c r="C36" t="s">
        <v>9</v>
      </c>
      <c r="D36" t="s">
        <v>17</v>
      </c>
      <c r="E36" t="s">
        <v>36</v>
      </c>
      <c r="F36" s="2">
        <v>46091</v>
      </c>
      <c r="G36">
        <v>5</v>
      </c>
      <c r="H36">
        <v>1100</v>
      </c>
      <c r="I36">
        <v>5500</v>
      </c>
      <c r="J36" t="s">
        <v>199</v>
      </c>
      <c r="K36" t="s">
        <v>167</v>
      </c>
      <c r="L36" t="s">
        <v>168</v>
      </c>
    </row>
    <row r="37" spans="1:12" x14ac:dyDescent="0.3">
      <c r="A37" t="s">
        <v>117</v>
      </c>
      <c r="B37" t="s">
        <v>43</v>
      </c>
      <c r="C37" t="s">
        <v>31</v>
      </c>
      <c r="D37" t="s">
        <v>17</v>
      </c>
      <c r="E37" t="s">
        <v>33</v>
      </c>
      <c r="F37" s="2">
        <v>46094</v>
      </c>
      <c r="G37">
        <v>1</v>
      </c>
      <c r="H37">
        <v>700</v>
      </c>
      <c r="I37">
        <v>700</v>
      </c>
      <c r="J37" t="s">
        <v>200</v>
      </c>
      <c r="K37" t="s">
        <v>167</v>
      </c>
      <c r="L37" t="s">
        <v>168</v>
      </c>
    </row>
    <row r="38" spans="1:12" x14ac:dyDescent="0.3">
      <c r="A38" t="s">
        <v>119</v>
      </c>
      <c r="B38" t="s">
        <v>27</v>
      </c>
      <c r="C38" t="s">
        <v>31</v>
      </c>
      <c r="D38" t="s">
        <v>20</v>
      </c>
      <c r="E38" t="s">
        <v>25</v>
      </c>
      <c r="F38" s="2">
        <v>46166</v>
      </c>
      <c r="G38">
        <v>2</v>
      </c>
      <c r="H38">
        <v>100</v>
      </c>
      <c r="I38">
        <v>200</v>
      </c>
      <c r="J38" t="s">
        <v>201</v>
      </c>
      <c r="K38" t="s">
        <v>167</v>
      </c>
      <c r="L38" t="s">
        <v>168</v>
      </c>
    </row>
    <row r="39" spans="1:12" x14ac:dyDescent="0.3">
      <c r="A39" t="s">
        <v>121</v>
      </c>
      <c r="B39" t="s">
        <v>35</v>
      </c>
      <c r="C39" t="s">
        <v>44</v>
      </c>
      <c r="D39" t="s">
        <v>20</v>
      </c>
      <c r="E39" t="s">
        <v>45</v>
      </c>
      <c r="F39" s="2">
        <v>46037</v>
      </c>
      <c r="G39">
        <v>1</v>
      </c>
      <c r="H39">
        <v>200</v>
      </c>
      <c r="I39">
        <v>200</v>
      </c>
      <c r="J39" t="s">
        <v>202</v>
      </c>
      <c r="K39" t="s">
        <v>167</v>
      </c>
      <c r="L39" t="s">
        <v>168</v>
      </c>
    </row>
    <row r="40" spans="1:12" x14ac:dyDescent="0.3">
      <c r="A40" t="s">
        <v>123</v>
      </c>
      <c r="B40" t="s">
        <v>43</v>
      </c>
      <c r="C40" t="s">
        <v>31</v>
      </c>
      <c r="D40" t="s">
        <v>10</v>
      </c>
      <c r="E40" t="s">
        <v>26</v>
      </c>
      <c r="F40" s="2">
        <v>46087</v>
      </c>
      <c r="G40">
        <v>7</v>
      </c>
      <c r="H40">
        <v>2500</v>
      </c>
      <c r="I40">
        <v>17500</v>
      </c>
      <c r="J40" t="s">
        <v>203</v>
      </c>
      <c r="K40" t="s">
        <v>167</v>
      </c>
      <c r="L40" t="s">
        <v>168</v>
      </c>
    </row>
    <row r="41" spans="1:12" x14ac:dyDescent="0.3">
      <c r="A41" t="s">
        <v>125</v>
      </c>
      <c r="B41" t="s">
        <v>43</v>
      </c>
      <c r="C41" t="s">
        <v>31</v>
      </c>
      <c r="D41" t="s">
        <v>10</v>
      </c>
      <c r="E41" t="s">
        <v>30</v>
      </c>
      <c r="F41" s="2">
        <v>46095</v>
      </c>
      <c r="H41">
        <v>2000</v>
      </c>
      <c r="I41">
        <v>12000</v>
      </c>
      <c r="J41" t="s">
        <v>204</v>
      </c>
      <c r="K41" t="s">
        <v>167</v>
      </c>
      <c r="L41" t="s">
        <v>168</v>
      </c>
    </row>
    <row r="42" spans="1:12" x14ac:dyDescent="0.3">
      <c r="A42" t="s">
        <v>127</v>
      </c>
      <c r="B42" t="s">
        <v>35</v>
      </c>
      <c r="C42" t="s">
        <v>31</v>
      </c>
      <c r="D42" t="s">
        <v>20</v>
      </c>
      <c r="E42" t="s">
        <v>25</v>
      </c>
      <c r="F42" s="2">
        <v>46144</v>
      </c>
      <c r="G42">
        <v>8</v>
      </c>
      <c r="H42">
        <v>150</v>
      </c>
      <c r="I42">
        <v>1200</v>
      </c>
      <c r="J42" t="s">
        <v>205</v>
      </c>
      <c r="K42" t="s">
        <v>167</v>
      </c>
      <c r="L42" t="s">
        <v>168</v>
      </c>
    </row>
    <row r="43" spans="1:12" x14ac:dyDescent="0.3">
      <c r="A43" t="s">
        <v>129</v>
      </c>
      <c r="B43" t="s">
        <v>22</v>
      </c>
      <c r="C43" t="s">
        <v>44</v>
      </c>
      <c r="D43" t="s">
        <v>14</v>
      </c>
      <c r="E43" t="s">
        <v>15</v>
      </c>
      <c r="F43" s="2">
        <v>46098</v>
      </c>
      <c r="G43">
        <v>4</v>
      </c>
      <c r="H43">
        <v>1000</v>
      </c>
      <c r="I43">
        <v>4000</v>
      </c>
      <c r="J43" t="s">
        <v>206</v>
      </c>
      <c r="K43" t="s">
        <v>167</v>
      </c>
      <c r="L43" t="s">
        <v>168</v>
      </c>
    </row>
    <row r="44" spans="1:12" x14ac:dyDescent="0.3">
      <c r="A44" t="s">
        <v>131</v>
      </c>
      <c r="B44" t="s">
        <v>43</v>
      </c>
      <c r="C44" t="s">
        <v>12</v>
      </c>
      <c r="D44" t="s">
        <v>17</v>
      </c>
      <c r="E44" t="s">
        <v>79</v>
      </c>
      <c r="F44" s="2">
        <v>46093</v>
      </c>
      <c r="G44">
        <v>6</v>
      </c>
      <c r="H44">
        <v>250</v>
      </c>
      <c r="I44">
        <v>1500</v>
      </c>
      <c r="J44" t="s">
        <v>207</v>
      </c>
      <c r="K44" t="s">
        <v>167</v>
      </c>
      <c r="L44" t="s">
        <v>168</v>
      </c>
    </row>
    <row r="45" spans="1:12" x14ac:dyDescent="0.3">
      <c r="A45" t="s">
        <v>133</v>
      </c>
      <c r="B45" t="s">
        <v>22</v>
      </c>
      <c r="C45" t="s">
        <v>44</v>
      </c>
      <c r="D45" t="s">
        <v>10</v>
      </c>
      <c r="E45" t="s">
        <v>11</v>
      </c>
      <c r="F45" s="2">
        <v>46138</v>
      </c>
      <c r="G45">
        <v>7</v>
      </c>
      <c r="H45">
        <v>1500</v>
      </c>
      <c r="I45">
        <v>10500</v>
      </c>
      <c r="J45" t="s">
        <v>208</v>
      </c>
      <c r="K45" t="s">
        <v>167</v>
      </c>
      <c r="L45" t="s">
        <v>168</v>
      </c>
    </row>
    <row r="46" spans="1:12" x14ac:dyDescent="0.3">
      <c r="A46" t="s">
        <v>135</v>
      </c>
      <c r="B46" t="s">
        <v>18</v>
      </c>
      <c r="C46" t="s">
        <v>13</v>
      </c>
      <c r="D46" t="s">
        <v>17</v>
      </c>
      <c r="E46" t="s">
        <v>33</v>
      </c>
      <c r="F46" s="2">
        <v>46164</v>
      </c>
      <c r="G46">
        <v>7</v>
      </c>
      <c r="I46">
        <v>1750</v>
      </c>
      <c r="J46" t="s">
        <v>209</v>
      </c>
      <c r="K46" t="s">
        <v>167</v>
      </c>
      <c r="L46" t="s">
        <v>168</v>
      </c>
    </row>
    <row r="47" spans="1:12" x14ac:dyDescent="0.3">
      <c r="A47" t="s">
        <v>137</v>
      </c>
      <c r="B47" t="s">
        <v>24</v>
      </c>
      <c r="C47" t="s">
        <v>44</v>
      </c>
      <c r="D47" t="s">
        <v>10</v>
      </c>
      <c r="E47" t="s">
        <v>26</v>
      </c>
      <c r="F47" s="2">
        <v>46156</v>
      </c>
      <c r="G47">
        <v>6</v>
      </c>
      <c r="H47">
        <v>800</v>
      </c>
      <c r="I47">
        <v>4800</v>
      </c>
      <c r="J47" t="s">
        <v>210</v>
      </c>
      <c r="K47" t="s">
        <v>167</v>
      </c>
      <c r="L47" t="s">
        <v>168</v>
      </c>
    </row>
    <row r="48" spans="1:12" x14ac:dyDescent="0.3">
      <c r="A48" t="s">
        <v>139</v>
      </c>
      <c r="B48" t="s">
        <v>16</v>
      </c>
      <c r="C48" t="s">
        <v>31</v>
      </c>
      <c r="D48" t="s">
        <v>17</v>
      </c>
      <c r="E48" t="s">
        <v>79</v>
      </c>
      <c r="F48" s="2">
        <v>46076</v>
      </c>
      <c r="G48">
        <v>5</v>
      </c>
      <c r="H48">
        <v>1100</v>
      </c>
      <c r="I48">
        <v>5500</v>
      </c>
      <c r="J48" t="s">
        <v>210</v>
      </c>
      <c r="K48" t="s">
        <v>167</v>
      </c>
      <c r="L48" t="s">
        <v>168</v>
      </c>
    </row>
    <row r="49" spans="1:12" x14ac:dyDescent="0.3">
      <c r="A49" t="s">
        <v>141</v>
      </c>
      <c r="B49" t="s">
        <v>24</v>
      </c>
      <c r="C49" t="s">
        <v>12</v>
      </c>
      <c r="D49" t="s">
        <v>14</v>
      </c>
      <c r="E49" t="s">
        <v>32</v>
      </c>
      <c r="F49" s="2">
        <v>46104</v>
      </c>
      <c r="G49">
        <v>7</v>
      </c>
      <c r="H49">
        <v>1200</v>
      </c>
      <c r="I49">
        <v>8400</v>
      </c>
      <c r="J49" t="s">
        <v>211</v>
      </c>
      <c r="K49" t="s">
        <v>167</v>
      </c>
      <c r="L49" t="s">
        <v>168</v>
      </c>
    </row>
    <row r="50" spans="1:12" x14ac:dyDescent="0.3">
      <c r="A50" t="s">
        <v>143</v>
      </c>
      <c r="B50" t="s">
        <v>56</v>
      </c>
      <c r="C50" t="s">
        <v>31</v>
      </c>
      <c r="D50" t="s">
        <v>17</v>
      </c>
      <c r="E50" t="s">
        <v>79</v>
      </c>
      <c r="F50" s="2">
        <v>46157</v>
      </c>
      <c r="G50">
        <v>8</v>
      </c>
      <c r="H50">
        <v>900</v>
      </c>
      <c r="I50">
        <v>7200</v>
      </c>
      <c r="J50" t="s">
        <v>212</v>
      </c>
      <c r="K50" t="s">
        <v>167</v>
      </c>
      <c r="L50" t="s">
        <v>168</v>
      </c>
    </row>
    <row r="51" spans="1:12" x14ac:dyDescent="0.3">
      <c r="A51" t="s">
        <v>145</v>
      </c>
      <c r="B51" t="s">
        <v>18</v>
      </c>
      <c r="C51" t="s">
        <v>31</v>
      </c>
      <c r="D51" t="s">
        <v>10</v>
      </c>
      <c r="E51" t="s">
        <v>26</v>
      </c>
      <c r="F51" s="2">
        <v>46106</v>
      </c>
      <c r="G51">
        <v>6</v>
      </c>
      <c r="H51">
        <v>800</v>
      </c>
      <c r="I51">
        <v>4800</v>
      </c>
      <c r="J51" t="s">
        <v>225</v>
      </c>
      <c r="K51" t="s">
        <v>167</v>
      </c>
      <c r="L51" t="s">
        <v>168</v>
      </c>
    </row>
    <row r="52" spans="1:12" x14ac:dyDescent="0.3">
      <c r="A52" t="s">
        <v>146</v>
      </c>
      <c r="B52" t="s">
        <v>56</v>
      </c>
      <c r="C52" t="s">
        <v>13</v>
      </c>
      <c r="D52" t="s">
        <v>10</v>
      </c>
      <c r="E52" t="s">
        <v>11</v>
      </c>
      <c r="F52" s="2">
        <v>46045</v>
      </c>
      <c r="G52">
        <v>4</v>
      </c>
      <c r="H52">
        <v>2000</v>
      </c>
      <c r="I52">
        <v>8000</v>
      </c>
      <c r="J52" t="s">
        <v>213</v>
      </c>
      <c r="K52" t="s">
        <v>167</v>
      </c>
      <c r="L52" t="s">
        <v>168</v>
      </c>
    </row>
    <row r="53" spans="1:12" x14ac:dyDescent="0.3">
      <c r="A53" t="s">
        <v>148</v>
      </c>
      <c r="B53" t="s">
        <v>22</v>
      </c>
      <c r="C53" t="s">
        <v>31</v>
      </c>
      <c r="D53" t="s">
        <v>20</v>
      </c>
      <c r="E53" t="s">
        <v>34</v>
      </c>
      <c r="F53" s="2">
        <v>46028</v>
      </c>
      <c r="G53">
        <v>7</v>
      </c>
      <c r="H53">
        <v>150</v>
      </c>
      <c r="I53">
        <v>1050</v>
      </c>
      <c r="J53" t="s">
        <v>214</v>
      </c>
      <c r="K53" t="s">
        <v>167</v>
      </c>
      <c r="L53" t="s">
        <v>168</v>
      </c>
    </row>
    <row r="54" spans="1:12" x14ac:dyDescent="0.3">
      <c r="A54" t="s">
        <v>150</v>
      </c>
      <c r="B54" t="s">
        <v>56</v>
      </c>
      <c r="C54" t="s">
        <v>31</v>
      </c>
      <c r="D54" t="s">
        <v>14</v>
      </c>
      <c r="E54" t="s">
        <v>97</v>
      </c>
      <c r="F54" s="2">
        <v>46058</v>
      </c>
      <c r="G54">
        <v>1</v>
      </c>
      <c r="H54">
        <v>1200</v>
      </c>
      <c r="I54">
        <v>1200</v>
      </c>
      <c r="J54" t="s">
        <v>177</v>
      </c>
      <c r="K54" t="s">
        <v>167</v>
      </c>
      <c r="L54" t="s">
        <v>168</v>
      </c>
    </row>
    <row r="55" spans="1:12" x14ac:dyDescent="0.3">
      <c r="A55" t="s">
        <v>152</v>
      </c>
      <c r="B55" t="s">
        <v>56</v>
      </c>
      <c r="C55" t="s">
        <v>9</v>
      </c>
      <c r="D55" t="s">
        <v>17</v>
      </c>
      <c r="E55" t="s">
        <v>79</v>
      </c>
      <c r="F55" s="2">
        <v>46067</v>
      </c>
      <c r="G55">
        <v>7</v>
      </c>
      <c r="H55">
        <v>1100</v>
      </c>
      <c r="I55">
        <v>7700</v>
      </c>
      <c r="J55" t="s">
        <v>215</v>
      </c>
      <c r="K55" t="s">
        <v>167</v>
      </c>
      <c r="L55" t="s">
        <v>168</v>
      </c>
    </row>
    <row r="56" spans="1:12" x14ac:dyDescent="0.3">
      <c r="A56" t="s">
        <v>154</v>
      </c>
      <c r="B56" t="s">
        <v>22</v>
      </c>
      <c r="C56" t="s">
        <v>44</v>
      </c>
      <c r="D56" t="s">
        <v>14</v>
      </c>
      <c r="E56" t="s">
        <v>32</v>
      </c>
      <c r="F56" s="2">
        <v>46139</v>
      </c>
      <c r="G56">
        <v>8</v>
      </c>
      <c r="H56">
        <v>600</v>
      </c>
      <c r="I56">
        <v>4800</v>
      </c>
      <c r="J56" t="s">
        <v>216</v>
      </c>
      <c r="K56" t="s">
        <v>167</v>
      </c>
      <c r="L56" t="s">
        <v>168</v>
      </c>
    </row>
    <row r="57" spans="1:12" x14ac:dyDescent="0.3">
      <c r="A57" t="s">
        <v>156</v>
      </c>
      <c r="B57" t="s">
        <v>43</v>
      </c>
      <c r="C57" t="s">
        <v>13</v>
      </c>
      <c r="D57" t="s">
        <v>14</v>
      </c>
      <c r="E57" t="s">
        <v>32</v>
      </c>
      <c r="F57" s="2">
        <v>46047</v>
      </c>
      <c r="G57">
        <v>6</v>
      </c>
      <c r="H57">
        <v>800</v>
      </c>
      <c r="I57">
        <v>4800</v>
      </c>
      <c r="J57" t="s">
        <v>217</v>
      </c>
      <c r="K57" t="s">
        <v>167</v>
      </c>
      <c r="L57" t="s">
        <v>168</v>
      </c>
    </row>
    <row r="58" spans="1:12" x14ac:dyDescent="0.3">
      <c r="A58" t="s">
        <v>158</v>
      </c>
      <c r="B58" t="s">
        <v>35</v>
      </c>
      <c r="C58" t="s">
        <v>9</v>
      </c>
      <c r="D58" t="s">
        <v>20</v>
      </c>
      <c r="E58" t="s">
        <v>45</v>
      </c>
      <c r="F58" s="2">
        <v>46131</v>
      </c>
      <c r="G58">
        <v>4</v>
      </c>
      <c r="H58">
        <v>100</v>
      </c>
      <c r="I58">
        <v>400</v>
      </c>
      <c r="J58" t="s">
        <v>218</v>
      </c>
      <c r="K58" t="s">
        <v>167</v>
      </c>
      <c r="L58" t="s">
        <v>168</v>
      </c>
    </row>
    <row r="59" spans="1:12" x14ac:dyDescent="0.3">
      <c r="A59" t="s">
        <v>160</v>
      </c>
      <c r="B59" t="s">
        <v>27</v>
      </c>
      <c r="C59" t="s">
        <v>9</v>
      </c>
      <c r="D59" t="s">
        <v>20</v>
      </c>
      <c r="E59" t="s">
        <v>25</v>
      </c>
      <c r="F59" s="2">
        <v>46176</v>
      </c>
      <c r="G59">
        <v>4</v>
      </c>
      <c r="H59">
        <v>250</v>
      </c>
      <c r="I59">
        <v>1000</v>
      </c>
      <c r="J59" t="s">
        <v>219</v>
      </c>
      <c r="K59" t="s">
        <v>167</v>
      </c>
      <c r="L59" t="s">
        <v>168</v>
      </c>
    </row>
    <row r="60" spans="1:12" x14ac:dyDescent="0.3">
      <c r="A60" t="s">
        <v>162</v>
      </c>
      <c r="B60" t="s">
        <v>18</v>
      </c>
      <c r="C60" t="s">
        <v>9</v>
      </c>
      <c r="D60" t="s">
        <v>20</v>
      </c>
      <c r="E60" t="s">
        <v>25</v>
      </c>
      <c r="F60" s="2">
        <v>46134</v>
      </c>
      <c r="G60">
        <v>6</v>
      </c>
      <c r="H60">
        <v>200</v>
      </c>
      <c r="I60">
        <v>1200</v>
      </c>
      <c r="J60" t="s">
        <v>220</v>
      </c>
      <c r="K60" t="s">
        <v>167</v>
      </c>
      <c r="L60" t="s">
        <v>168</v>
      </c>
    </row>
    <row r="61" spans="1:12" x14ac:dyDescent="0.3">
      <c r="A61" t="s">
        <v>164</v>
      </c>
      <c r="B61" t="s">
        <v>16</v>
      </c>
      <c r="C61" t="s">
        <v>9</v>
      </c>
      <c r="D61" t="s">
        <v>17</v>
      </c>
      <c r="E61" t="s">
        <v>79</v>
      </c>
      <c r="F61" s="2">
        <v>46113</v>
      </c>
      <c r="G61">
        <v>8</v>
      </c>
      <c r="H61">
        <v>250</v>
      </c>
      <c r="I61">
        <v>2000</v>
      </c>
      <c r="J61" t="s">
        <v>221</v>
      </c>
      <c r="K61" t="s">
        <v>167</v>
      </c>
      <c r="L61" t="s">
        <v>168</v>
      </c>
    </row>
  </sheetData>
  <sortState xmlns:xlrd2="http://schemas.microsoft.com/office/spreadsheetml/2017/richdata2" ref="A2:L61">
    <sortCondition ref="A2:A61"/>
  </sortState>
  <mergeCells count="1">
    <mergeCell ref="O3:P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B982-45DA-417C-8B07-F72FD766796A}">
  <dimension ref="C5:D44"/>
  <sheetViews>
    <sheetView zoomScale="68" zoomScaleNormal="71" workbookViewId="0">
      <selection activeCell="O18" sqref="O18"/>
    </sheetView>
  </sheetViews>
  <sheetFormatPr defaultRowHeight="14.4" x14ac:dyDescent="0.3"/>
  <cols>
    <col min="1" max="1" width="8.44140625" customWidth="1"/>
    <col min="2" max="2" width="10.21875" customWidth="1"/>
    <col min="3" max="3" width="12.44140625" bestFit="1" customWidth="1"/>
    <col min="4" max="4" width="18.5546875" bestFit="1" customWidth="1"/>
    <col min="7" max="7" width="12.44140625" bestFit="1" customWidth="1"/>
    <col min="8" max="8" width="16.5546875" bestFit="1" customWidth="1"/>
    <col min="12" max="12" width="8.88671875" customWidth="1"/>
  </cols>
  <sheetData>
    <row r="5" spans="3:4" x14ac:dyDescent="0.3">
      <c r="C5" s="3" t="s">
        <v>226</v>
      </c>
      <c r="D5" t="s">
        <v>228</v>
      </c>
    </row>
    <row r="6" spans="3:4" x14ac:dyDescent="0.3">
      <c r="C6" s="4" t="s">
        <v>14</v>
      </c>
      <c r="D6" s="6">
        <v>52800</v>
      </c>
    </row>
    <row r="7" spans="3:4" x14ac:dyDescent="0.3">
      <c r="C7" s="4" t="s">
        <v>10</v>
      </c>
      <c r="D7" s="6">
        <v>93800</v>
      </c>
    </row>
    <row r="8" spans="3:4" x14ac:dyDescent="0.3">
      <c r="C8" s="4" t="s">
        <v>20</v>
      </c>
      <c r="D8" s="6">
        <v>10600</v>
      </c>
    </row>
    <row r="9" spans="3:4" x14ac:dyDescent="0.3">
      <c r="C9" s="4" t="s">
        <v>17</v>
      </c>
      <c r="D9" s="6">
        <v>50500</v>
      </c>
    </row>
    <row r="10" spans="3:4" x14ac:dyDescent="0.3">
      <c r="C10" s="4" t="s">
        <v>36</v>
      </c>
      <c r="D10" s="6">
        <v>9000</v>
      </c>
    </row>
    <row r="11" spans="3:4" x14ac:dyDescent="0.3">
      <c r="C11" s="4" t="s">
        <v>227</v>
      </c>
      <c r="D11" s="6">
        <v>216700</v>
      </c>
    </row>
    <row r="21" spans="3:4" x14ac:dyDescent="0.3">
      <c r="C21" s="3" t="s">
        <v>226</v>
      </c>
      <c r="D21" t="s">
        <v>228</v>
      </c>
    </row>
    <row r="22" spans="3:4" x14ac:dyDescent="0.3">
      <c r="C22" s="4" t="s">
        <v>12</v>
      </c>
      <c r="D22">
        <v>19150</v>
      </c>
    </row>
    <row r="23" spans="3:4" x14ac:dyDescent="0.3">
      <c r="C23" s="4" t="s">
        <v>9</v>
      </c>
      <c r="D23">
        <v>33300</v>
      </c>
    </row>
    <row r="24" spans="3:4" x14ac:dyDescent="0.3">
      <c r="C24" s="4" t="s">
        <v>44</v>
      </c>
      <c r="D24">
        <v>46050</v>
      </c>
    </row>
    <row r="25" spans="3:4" x14ac:dyDescent="0.3">
      <c r="C25" s="4" t="s">
        <v>31</v>
      </c>
      <c r="D25">
        <v>88750</v>
      </c>
    </row>
    <row r="26" spans="3:4" x14ac:dyDescent="0.3">
      <c r="C26" s="4" t="s">
        <v>13</v>
      </c>
      <c r="D26">
        <v>26250</v>
      </c>
    </row>
    <row r="27" spans="3:4" x14ac:dyDescent="0.3">
      <c r="C27" s="4" t="s">
        <v>36</v>
      </c>
      <c r="D27">
        <v>3200</v>
      </c>
    </row>
    <row r="28" spans="3:4" x14ac:dyDescent="0.3">
      <c r="C28" s="4" t="s">
        <v>227</v>
      </c>
      <c r="D28">
        <v>216700</v>
      </c>
    </row>
    <row r="38" spans="3:4" x14ac:dyDescent="0.3">
      <c r="C38" s="3" t="s">
        <v>226</v>
      </c>
      <c r="D38" s="5" t="s">
        <v>229</v>
      </c>
    </row>
    <row r="39" spans="3:4" x14ac:dyDescent="0.3">
      <c r="C39" s="4" t="s">
        <v>14</v>
      </c>
      <c r="D39" s="5">
        <v>635.71428571428567</v>
      </c>
    </row>
    <row r="40" spans="3:4" x14ac:dyDescent="0.3">
      <c r="C40" s="4" t="s">
        <v>10</v>
      </c>
      <c r="D40" s="5">
        <v>821.42857142857144</v>
      </c>
    </row>
    <row r="41" spans="3:4" x14ac:dyDescent="0.3">
      <c r="C41" s="4" t="s">
        <v>20</v>
      </c>
      <c r="D41" s="5">
        <v>850</v>
      </c>
    </row>
    <row r="42" spans="3:4" x14ac:dyDescent="0.3">
      <c r="C42" s="4" t="s">
        <v>17</v>
      </c>
      <c r="D42" s="5">
        <v>906.66666666666663</v>
      </c>
    </row>
    <row r="43" spans="3:4" x14ac:dyDescent="0.3">
      <c r="C43" s="4" t="s">
        <v>36</v>
      </c>
      <c r="D43" s="5">
        <v>700</v>
      </c>
    </row>
    <row r="44" spans="3:4" x14ac:dyDescent="0.3">
      <c r="C44" s="4" t="s">
        <v>227</v>
      </c>
      <c r="D44">
        <v>804.23728813559319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Raw_Data_OF_Order_Dataset</vt:lpstr>
      <vt:lpstr>Cleaned_Data_OF_Order_Dataset</vt:lpstr>
      <vt:lpstr>Pivot table and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Sneha Parishwad</cp:lastModifiedBy>
  <dcterms:created xsi:type="dcterms:W3CDTF">2026-09-23T17:25:34Z</dcterms:created>
  <dcterms:modified xsi:type="dcterms:W3CDTF">2026-09-24T17:18:05Z</dcterms:modified>
</cp:coreProperties>
</file>